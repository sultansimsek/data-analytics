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ocuments/DataAnalytics/week-01/"/>
    </mc:Choice>
  </mc:AlternateContent>
  <xr:revisionPtr revIDLastSave="0" documentId="13_ncr:1_{0DAF960C-D625-D447-AEAF-297BB8397D70}" xr6:coauthVersionLast="47" xr6:coauthVersionMax="47" xr10:uidLastSave="{00000000-0000-0000-0000-000000000000}"/>
  <bookViews>
    <workbookView xWindow="9400" yWindow="760" windowWidth="20840" windowHeight="17140" activeTab="2" xr2:uid="{E02B2F94-3CB3-194B-9AFC-6C9F0F90A351}"/>
  </bookViews>
  <sheets>
    <sheet name="by search term" sheetId="1" r:id="rId1"/>
    <sheet name="by quarter" sheetId="2" r:id="rId2"/>
    <sheet name="quarterly corre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B8" i="3"/>
  <c r="B9" i="3"/>
  <c r="B10" i="3"/>
  <c r="B11" i="3"/>
  <c r="H9" i="3"/>
  <c r="H8" i="3"/>
  <c r="K11" i="3"/>
  <c r="K10" i="3"/>
  <c r="K9" i="3"/>
  <c r="K8" i="3"/>
  <c r="H11" i="3"/>
  <c r="H10" i="3"/>
  <c r="E11" i="3"/>
  <c r="E10" i="3"/>
  <c r="E9" i="3"/>
  <c r="E8" i="3"/>
  <c r="I1" i="1"/>
</calcChain>
</file>

<file path=xl/sharedStrings.xml><?xml version="1.0" encoding="utf-8"?>
<sst xmlns="http://schemas.openxmlformats.org/spreadsheetml/2006/main" count="195" uniqueCount="73">
  <si>
    <t>Week #</t>
  </si>
  <si>
    <t># of Weeks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</si>
  <si>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</si>
  <si>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</si>
  <si>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</si>
  <si>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</si>
  <si>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</si>
  <si>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</si>
  <si>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</si>
  <si>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</si>
  <si>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</si>
  <si>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</si>
  <si>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</si>
  <si>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</si>
  <si>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</si>
  <si>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</si>
  <si>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</si>
  <si>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</si>
  <si>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</si>
  <si>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</si>
  <si>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</si>
  <si>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</si>
  <si>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</si>
  <si>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</si>
  <si>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</si>
  <si>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</si>
  <si>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</si>
  <si>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</si>
  <si>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</si>
  <si>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</si>
  <si>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</si>
  <si>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</si>
  <si>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</si>
  <si>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</si>
  <si>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</si>
  <si>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</si>
  <si>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</si>
  <si>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</si>
  <si>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</si>
  <si>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</si>
  <si>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</si>
  <si>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</si>
  <si>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</si>
  <si>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</si>
  <si>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</si>
  <si>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</si>
  <si>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</si>
  <si>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</si>
  <si>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</si>
  <si>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</si>
  <si>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</si>
  <si>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</si>
  <si>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</si>
  <si>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</si>
  <si>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</si>
  <si>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Date Range</t>
  </si>
  <si>
    <t>hamburger: (USA)</t>
  </si>
  <si>
    <t>milkshake: (USAi)</t>
  </si>
  <si>
    <t>Breakup: (USA)</t>
  </si>
  <si>
    <t>Week</t>
  </si>
  <si>
    <t>Quarter</t>
  </si>
  <si>
    <t>Q1 - hamburger</t>
  </si>
  <si>
    <t>Q1 - milkshake</t>
  </si>
  <si>
    <t>Q2 - hamburger</t>
  </si>
  <si>
    <t>Q2 - milkshake</t>
  </si>
  <si>
    <t>Q3 - hamburger</t>
  </si>
  <si>
    <t>Q4 - hamburger</t>
  </si>
  <si>
    <t>Q1H_avg</t>
  </si>
  <si>
    <t>Q2H_avg</t>
  </si>
  <si>
    <t>Q3H_avg</t>
  </si>
  <si>
    <t>Q4H_avg</t>
  </si>
  <si>
    <t>Q1M_avg</t>
  </si>
  <si>
    <t>Q2M_avg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</si>
</sst>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9" fontId="0" fillId="0" borderId="2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vertical="top"/>
    </xf>
    <xf numFmtId="0" fontId="3" fillId="0" borderId="0" xfId="0" applyFont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14" fontId="0" fillId="3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/>
    <xf numFmtId="0" fontId="0" fillId="0" borderId="0" xfId="0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Hamburger</a:t>
            </a:r>
            <a:r>
              <a:rPr lang="en-US" baseline="0"/>
              <a:t> - Breakup Correlation by Quarters</a:t>
            </a:r>
            <a:endParaRPr lang="en-US"/>
          </a:p>
        </c:rich>
      </c:tx>
      <c:layout>
        <c:manualLayout>
          <c:xMode val="edge"/>
          <c:yMode val="edge"/>
          <c:x val="9.2944444444444427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'quarterly correlation'!$A$8:$A$11</c:f>
              <c:strCache>
                <c:ptCount val="4"/>
                <c:pt idx="0">
                  <c:v>Q1 - hamburger</c:v>
                </c:pt>
                <c:pt idx="1">
                  <c:v>Q2 - hamburger</c:v>
                </c:pt>
                <c:pt idx="2">
                  <c:v>Q3 - hamburger</c:v>
                </c:pt>
                <c:pt idx="3">
                  <c:v>Q4 - hamburger</c:v>
                </c:pt>
              </c:strCache>
            </c:strRef>
          </c:cat>
          <c:val>
            <c:numRef>
              <c:f>'quarterly correlation'!$B$8:$B$11</c:f>
              <c:numCache>
                <c:formatCode>General</c:formatCode>
                <c:ptCount val="4"/>
                <c:pt idx="0">
                  <c:v>0.6326691863895334</c:v>
                </c:pt>
                <c:pt idx="1">
                  <c:v>-0.19884986694710483</c:v>
                </c:pt>
                <c:pt idx="2">
                  <c:v>7.4023404823051253E-2</c:v>
                </c:pt>
                <c:pt idx="3">
                  <c:v>0.23394813913615528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9-6346-BCFF-03E08093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625791"/>
        <c:axId val="1643621103"/>
      </c:barChart>
      <c:catAx>
        <c:axId val="165962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21103"/>
        <c:crosses val="autoZero"/>
        <c:auto val="1"/>
        <c:lblAlgn val="ctr"/>
        <c:lblOffset val="100"/>
        <c:noMultiLvlLbl val="0"/>
      </c:catAx>
      <c:valAx>
        <c:axId val="16436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2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Milkshake</a:t>
            </a:r>
            <a:r>
              <a:rPr lang="en-US" baseline="0"/>
              <a:t> - Breakeup Correlation by Quarters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'quarterly correlation'!$D$8:$D$11</c:f>
              <c:strCache>
                <c:ptCount val="4"/>
                <c:pt idx="0">
                  <c:v>Q1 - milkshake</c:v>
                </c:pt>
                <c:pt idx="1">
                  <c:v>Q2 - milkshake</c:v>
                </c:pt>
                <c:pt idx="2">
                  <c:v>Q2 - milkshake</c:v>
                </c:pt>
                <c:pt idx="3">
                  <c:v>Q2 - milkshake</c:v>
                </c:pt>
              </c:strCache>
            </c:strRef>
          </c:cat>
          <c:val>
            <c:numRef>
              <c:f>'quarterly correlation'!$E$8:$E$11</c:f>
              <c:numCache>
                <c:formatCode>General</c:formatCode>
                <c:ptCount val="4"/>
                <c:pt idx="0">
                  <c:v>-0.21123070884037842</c:v>
                </c:pt>
                <c:pt idx="1">
                  <c:v>0.30814801739309577</c:v>
                </c:pt>
                <c:pt idx="2">
                  <c:v>4.4607694222079899E-2</c:v>
                </c:pt>
                <c:pt idx="3">
                  <c:v>-0.13962954419394971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0-9047-989D-571A0F3BA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5512639"/>
        <c:axId val="1765514351"/>
      </c:barChart>
      <c:catAx>
        <c:axId val="17655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14351"/>
        <c:crosses val="autoZero"/>
        <c:auto val="1"/>
        <c:lblAlgn val="ctr"/>
        <c:lblOffset val="100"/>
        <c:noMultiLvlLbl val="0"/>
      </c:catAx>
      <c:valAx>
        <c:axId val="176551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1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57150</xdr:rowOff>
    </xdr:from>
    <xdr:to>
      <xdr:col>5</xdr:col>
      <xdr:colOff>88900</xdr:colOff>
      <xdr:row>25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EF592-3950-5D62-3E31-431221A90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558800</xdr:colOff>
      <xdr:row>12</xdr:row>
      <xdr:rowOff>31750</xdr:rowOff>
    </xdr:from>
    <xdr:to>
      <xdr:col>11</xdr:col>
      <xdr:colOff>330200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ACD4C8-F624-C144-D162-C0600AC32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0188-D237-2B46-84C4-A11C87298B16}">
  <dimension ref="A1:L54"/>
  <sheetViews>
    <sheetView workbookViewId="0">
      <selection sqref="A1:F54"/>
    </sheetView>
  </sheetViews>
  <sheetFormatPr baseColWidth="10" defaultColWidth="8.33203125" defaultRowHeight="16" x14ac:dyDescent="0.2"/>
  <cols>
    <col min="1" max="2" width="8.33203125" style="5"/>
    <col min="3" max="3" width="10.6640625" style="5" bestFit="1" customWidth="1"/>
    <col min="4" max="4" width="14.5" style="5" bestFit="1" customWidth="1"/>
    <col min="5" max="5" width="14" style="5" bestFit="1" customWidth="1"/>
    <col min="6" max="6" width="12.5" style="5" bestFit="1" customWidth="1"/>
    <col min="7" max="7" width="34.1640625" style="5" bestFit="1" customWidth="1"/>
    <col min="8" max="8" width="8.33203125" style="5"/>
    <col min="9" max="9" width="10" style="5" bestFit="1" customWidth="1"/>
    <col min="10" max="10" width="8.33203125" style="5"/>
    <col min="11" max="11" width="10.5" style="5" bestFit="1" customWidth="1"/>
    <col min="12" max="12" width="14.1640625" style="5" bestFit="1" customWidth="1"/>
    <col min="13" max="16384" width="8.33203125" style="5"/>
  </cols>
  <sheetData>
    <row r="1" spans="1:12" ht="27.75" customHeight="1" x14ac:dyDescent="0.2">
      <c r="A1" s="5" t="s">
        <v>60</v>
      </c>
      <c r="B1" s="1" t="s">
        <v>0</v>
      </c>
      <c r="C1" s="10" t="s">
        <v>59</v>
      </c>
      <c r="D1" s="2" t="s">
        <v>56</v>
      </c>
      <c r="E1" s="3" t="s">
        <v>57</v>
      </c>
      <c r="F1" s="2" t="s">
        <v>58</v>
      </c>
      <c r="G1" s="2"/>
      <c r="H1" s="4" t="s">
        <v>1</v>
      </c>
      <c r="I1" s="5">
        <f>COUNTA(C2:C54)</f>
        <v>53</v>
      </c>
      <c r="K1" s="5" t="s">
        <v>55</v>
      </c>
      <c r="L1" s="11"/>
    </row>
    <row r="2" spans="1:12" ht="20.25" customHeight="1" x14ac:dyDescent="0.2">
      <c r="A2" s="14">
        <v>1</v>
      </c>
      <c r="B2" s="5">
        <v>1</v>
      </c>
      <c r="C2" s="10" t="s">
        <v>2</v>
      </c>
      <c r="D2" s="6">
        <v>0.71</v>
      </c>
      <c r="E2" s="7">
        <v>24</v>
      </c>
      <c r="F2" s="8">
        <v>19</v>
      </c>
      <c r="G2" s="8"/>
      <c r="I2" s="9"/>
    </row>
    <row r="3" spans="1:12" ht="20.25" customHeight="1" x14ac:dyDescent="0.2">
      <c r="A3" s="14"/>
      <c r="B3" s="5">
        <v>2</v>
      </c>
      <c r="C3" s="10" t="s">
        <v>3</v>
      </c>
      <c r="D3" s="8">
        <v>76</v>
      </c>
      <c r="E3" s="7">
        <v>22</v>
      </c>
      <c r="F3" s="8">
        <v>42</v>
      </c>
      <c r="G3" s="8"/>
    </row>
    <row r="4" spans="1:12" ht="20" customHeight="1" x14ac:dyDescent="0.2">
      <c r="A4" s="14"/>
      <c r="B4" s="5">
        <v>3</v>
      </c>
      <c r="C4" s="10" t="s">
        <v>4</v>
      </c>
      <c r="D4" s="8">
        <v>69</v>
      </c>
      <c r="E4" s="7">
        <v>19</v>
      </c>
      <c r="F4" s="8">
        <v>22</v>
      </c>
      <c r="G4" s="8"/>
    </row>
    <row r="5" spans="1:12" ht="20" customHeight="1" x14ac:dyDescent="0.2">
      <c r="A5" s="14"/>
      <c r="B5" s="5">
        <v>4</v>
      </c>
      <c r="C5" s="10" t="s">
        <v>5</v>
      </c>
      <c r="D5" s="8">
        <v>73</v>
      </c>
      <c r="E5" s="7">
        <v>23</v>
      </c>
      <c r="F5" s="8">
        <v>19</v>
      </c>
      <c r="G5" s="8"/>
    </row>
    <row r="6" spans="1:12" ht="20" customHeight="1" x14ac:dyDescent="0.2">
      <c r="A6" s="14"/>
      <c r="B6" s="5">
        <v>5</v>
      </c>
      <c r="C6" s="10" t="s">
        <v>6</v>
      </c>
      <c r="D6" s="8">
        <v>73</v>
      </c>
      <c r="E6" s="7">
        <v>21</v>
      </c>
      <c r="F6" s="8">
        <v>18</v>
      </c>
      <c r="G6" s="8"/>
    </row>
    <row r="7" spans="1:12" ht="20" customHeight="1" x14ac:dyDescent="0.2">
      <c r="A7" s="14"/>
      <c r="B7" s="5">
        <v>6</v>
      </c>
      <c r="C7" s="10" t="s">
        <v>7</v>
      </c>
      <c r="D7" s="8">
        <v>69</v>
      </c>
      <c r="E7" s="7">
        <v>23</v>
      </c>
      <c r="F7" s="8">
        <v>19</v>
      </c>
      <c r="G7" s="8"/>
    </row>
    <row r="8" spans="1:12" ht="20" customHeight="1" x14ac:dyDescent="0.2">
      <c r="A8" s="14"/>
      <c r="B8" s="5">
        <v>7</v>
      </c>
      <c r="C8" s="10" t="s">
        <v>8</v>
      </c>
      <c r="D8" s="8">
        <v>69</v>
      </c>
      <c r="E8" s="7">
        <v>25</v>
      </c>
      <c r="F8" s="8">
        <v>20</v>
      </c>
      <c r="G8" s="8"/>
    </row>
    <row r="9" spans="1:12" ht="20" customHeight="1" x14ac:dyDescent="0.2">
      <c r="A9" s="14"/>
      <c r="B9" s="5">
        <v>8</v>
      </c>
      <c r="C9" s="10" t="s">
        <v>9</v>
      </c>
      <c r="D9" s="8">
        <v>70</v>
      </c>
      <c r="E9" s="7">
        <v>23</v>
      </c>
      <c r="F9" s="8">
        <v>19</v>
      </c>
      <c r="G9" s="8"/>
    </row>
    <row r="10" spans="1:12" ht="20" customHeight="1" x14ac:dyDescent="0.2">
      <c r="A10" s="14"/>
      <c r="B10" s="5">
        <v>9</v>
      </c>
      <c r="C10" s="10" t="s">
        <v>10</v>
      </c>
      <c r="D10" s="8">
        <v>66</v>
      </c>
      <c r="E10" s="7">
        <v>26</v>
      </c>
      <c r="F10" s="8">
        <v>18</v>
      </c>
      <c r="G10" s="8"/>
    </row>
    <row r="11" spans="1:12" ht="20" customHeight="1" x14ac:dyDescent="0.2">
      <c r="A11" s="14"/>
      <c r="B11" s="5">
        <v>10</v>
      </c>
      <c r="C11" s="10" t="s">
        <v>11</v>
      </c>
      <c r="D11" s="8">
        <v>67</v>
      </c>
      <c r="E11" s="7">
        <v>22</v>
      </c>
      <c r="F11" s="8">
        <v>18</v>
      </c>
      <c r="G11" s="8"/>
    </row>
    <row r="12" spans="1:12" ht="20" customHeight="1" x14ac:dyDescent="0.2">
      <c r="A12" s="14"/>
      <c r="B12" s="5">
        <v>11</v>
      </c>
      <c r="C12" s="10" t="s">
        <v>12</v>
      </c>
      <c r="D12" s="8">
        <v>68</v>
      </c>
      <c r="E12" s="7">
        <v>22</v>
      </c>
      <c r="F12" s="8">
        <v>18</v>
      </c>
      <c r="G12" s="8"/>
    </row>
    <row r="13" spans="1:12" ht="20" customHeight="1" x14ac:dyDescent="0.2">
      <c r="A13" s="14"/>
      <c r="B13" s="5">
        <v>12</v>
      </c>
      <c r="C13" s="10" t="s">
        <v>13</v>
      </c>
      <c r="D13" s="8">
        <v>72</v>
      </c>
      <c r="E13" s="7">
        <v>26</v>
      </c>
      <c r="F13" s="8">
        <v>19</v>
      </c>
      <c r="G13" s="8"/>
    </row>
    <row r="14" spans="1:12" ht="20" customHeight="1" x14ac:dyDescent="0.2">
      <c r="A14" s="14">
        <v>2</v>
      </c>
      <c r="B14" s="5">
        <v>13</v>
      </c>
      <c r="C14" s="10" t="s">
        <v>14</v>
      </c>
      <c r="D14" s="8">
        <v>67</v>
      </c>
      <c r="E14" s="7">
        <v>25</v>
      </c>
      <c r="F14" s="8">
        <v>19</v>
      </c>
      <c r="G14" s="8"/>
    </row>
    <row r="15" spans="1:12" ht="20" customHeight="1" x14ac:dyDescent="0.2">
      <c r="A15" s="14"/>
      <c r="B15" s="5">
        <v>14</v>
      </c>
      <c r="C15" s="10" t="s">
        <v>15</v>
      </c>
      <c r="D15" s="8">
        <v>75</v>
      </c>
      <c r="E15" s="7">
        <v>24</v>
      </c>
      <c r="F15" s="8">
        <v>19</v>
      </c>
      <c r="G15" s="8"/>
    </row>
    <row r="16" spans="1:12" ht="20" customHeight="1" x14ac:dyDescent="0.2">
      <c r="A16" s="14"/>
      <c r="B16" s="5">
        <v>15</v>
      </c>
      <c r="C16" s="10" t="s">
        <v>16</v>
      </c>
      <c r="D16" s="8">
        <v>71</v>
      </c>
      <c r="E16" s="7">
        <v>23</v>
      </c>
      <c r="F16" s="8">
        <v>19</v>
      </c>
      <c r="G16" s="8"/>
    </row>
    <row r="17" spans="1:7" ht="20" customHeight="1" x14ac:dyDescent="0.2">
      <c r="A17" s="14"/>
      <c r="B17" s="5">
        <v>16</v>
      </c>
      <c r="C17" s="10" t="s">
        <v>17</v>
      </c>
      <c r="D17" s="8">
        <v>71</v>
      </c>
      <c r="E17" s="7">
        <v>22</v>
      </c>
      <c r="F17" s="8">
        <v>17</v>
      </c>
      <c r="G17" s="8"/>
    </row>
    <row r="18" spans="1:7" ht="20" customHeight="1" x14ac:dyDescent="0.2">
      <c r="A18" s="14"/>
      <c r="B18" s="5">
        <v>17</v>
      </c>
      <c r="C18" s="10" t="s">
        <v>18</v>
      </c>
      <c r="D18" s="8">
        <v>82</v>
      </c>
      <c r="E18" s="7">
        <v>25</v>
      </c>
      <c r="F18" s="8">
        <v>18</v>
      </c>
      <c r="G18" s="8"/>
    </row>
    <row r="19" spans="1:7" ht="20" customHeight="1" x14ac:dyDescent="0.2">
      <c r="A19" s="14"/>
      <c r="B19" s="5">
        <v>18</v>
      </c>
      <c r="C19" s="10" t="s">
        <v>19</v>
      </c>
      <c r="D19" s="8">
        <v>100</v>
      </c>
      <c r="E19" s="7">
        <v>27</v>
      </c>
      <c r="F19" s="8">
        <v>18</v>
      </c>
      <c r="G19" s="8"/>
    </row>
    <row r="20" spans="1:7" ht="20" customHeight="1" x14ac:dyDescent="0.2">
      <c r="A20" s="14"/>
      <c r="B20" s="5">
        <v>19</v>
      </c>
      <c r="C20" s="10" t="s">
        <v>20</v>
      </c>
      <c r="D20" s="8">
        <v>77</v>
      </c>
      <c r="E20" s="7">
        <v>31</v>
      </c>
      <c r="F20" s="8">
        <v>19</v>
      </c>
      <c r="G20" s="8"/>
    </row>
    <row r="21" spans="1:7" ht="20" customHeight="1" x14ac:dyDescent="0.2">
      <c r="A21" s="14"/>
      <c r="B21" s="5">
        <v>20</v>
      </c>
      <c r="C21" s="10" t="s">
        <v>21</v>
      </c>
      <c r="D21" s="8">
        <v>73</v>
      </c>
      <c r="E21" s="7">
        <v>28</v>
      </c>
      <c r="F21" s="8">
        <v>18</v>
      </c>
      <c r="G21" s="8"/>
    </row>
    <row r="22" spans="1:7" ht="20" customHeight="1" x14ac:dyDescent="0.2">
      <c r="A22" s="14"/>
      <c r="B22" s="5">
        <v>21</v>
      </c>
      <c r="C22" s="10" t="s">
        <v>22</v>
      </c>
      <c r="D22" s="8">
        <v>75</v>
      </c>
      <c r="E22" s="7">
        <v>30</v>
      </c>
      <c r="F22" s="8">
        <v>22</v>
      </c>
      <c r="G22" s="8"/>
    </row>
    <row r="23" spans="1:7" ht="20" customHeight="1" x14ac:dyDescent="0.2">
      <c r="A23" s="14"/>
      <c r="B23" s="5">
        <v>22</v>
      </c>
      <c r="C23" s="10" t="s">
        <v>23</v>
      </c>
      <c r="D23" s="8">
        <v>74</v>
      </c>
      <c r="E23" s="7">
        <v>30</v>
      </c>
      <c r="F23" s="8">
        <v>20</v>
      </c>
      <c r="G23" s="8"/>
    </row>
    <row r="24" spans="1:7" ht="20" customHeight="1" x14ac:dyDescent="0.2">
      <c r="A24" s="14"/>
      <c r="B24" s="5">
        <v>23</v>
      </c>
      <c r="C24" s="10" t="s">
        <v>24</v>
      </c>
      <c r="D24" s="8">
        <v>92</v>
      </c>
      <c r="E24" s="7">
        <v>28</v>
      </c>
      <c r="F24" s="8">
        <v>17</v>
      </c>
      <c r="G24" s="8"/>
    </row>
    <row r="25" spans="1:7" ht="20" customHeight="1" x14ac:dyDescent="0.2">
      <c r="A25" s="14"/>
      <c r="B25" s="5">
        <v>24</v>
      </c>
      <c r="C25" s="10" t="s">
        <v>25</v>
      </c>
      <c r="D25" s="8">
        <v>69</v>
      </c>
      <c r="E25" s="7">
        <v>29</v>
      </c>
      <c r="F25" s="8">
        <v>17</v>
      </c>
      <c r="G25" s="8"/>
    </row>
    <row r="26" spans="1:7" ht="20" customHeight="1" x14ac:dyDescent="0.2">
      <c r="A26" s="14"/>
      <c r="B26" s="5">
        <v>25</v>
      </c>
      <c r="C26" s="10" t="s">
        <v>26</v>
      </c>
      <c r="D26" s="8">
        <v>72</v>
      </c>
      <c r="E26" s="7">
        <v>29</v>
      </c>
      <c r="F26" s="8">
        <v>18</v>
      </c>
      <c r="G26" s="8"/>
    </row>
    <row r="27" spans="1:7" ht="20" customHeight="1" x14ac:dyDescent="0.2">
      <c r="A27" s="14">
        <v>3</v>
      </c>
      <c r="B27" s="5">
        <v>26</v>
      </c>
      <c r="C27" s="10" t="s">
        <v>27</v>
      </c>
      <c r="D27" s="8">
        <v>70</v>
      </c>
      <c r="E27" s="7">
        <v>26</v>
      </c>
      <c r="F27" s="8">
        <v>18</v>
      </c>
      <c r="G27" s="8"/>
    </row>
    <row r="28" spans="1:7" ht="20" customHeight="1" x14ac:dyDescent="0.2">
      <c r="A28" s="14"/>
      <c r="B28" s="5">
        <v>27</v>
      </c>
      <c r="C28" s="10" t="s">
        <v>28</v>
      </c>
      <c r="D28" s="8">
        <v>69</v>
      </c>
      <c r="E28" s="7">
        <v>27</v>
      </c>
      <c r="F28" s="8">
        <v>18</v>
      </c>
      <c r="G28" s="8"/>
    </row>
    <row r="29" spans="1:7" ht="20" customHeight="1" x14ac:dyDescent="0.2">
      <c r="A29" s="14"/>
      <c r="B29" s="5">
        <v>28</v>
      </c>
      <c r="C29" s="10" t="s">
        <v>29</v>
      </c>
      <c r="D29" s="8">
        <v>72</v>
      </c>
      <c r="E29" s="7">
        <v>25</v>
      </c>
      <c r="F29" s="8">
        <v>18</v>
      </c>
      <c r="G29" s="8"/>
    </row>
    <row r="30" spans="1:7" ht="20" customHeight="1" x14ac:dyDescent="0.2">
      <c r="A30" s="14"/>
      <c r="B30" s="5">
        <v>29</v>
      </c>
      <c r="C30" s="10" t="s">
        <v>30</v>
      </c>
      <c r="D30" s="8">
        <v>75</v>
      </c>
      <c r="E30" s="7">
        <v>41</v>
      </c>
      <c r="F30" s="8">
        <v>20</v>
      </c>
      <c r="G30" s="8"/>
    </row>
    <row r="31" spans="1:7" ht="20" customHeight="1" x14ac:dyDescent="0.2">
      <c r="A31" s="14"/>
      <c r="B31" s="5">
        <v>30</v>
      </c>
      <c r="C31" s="10" t="s">
        <v>31</v>
      </c>
      <c r="D31" s="8">
        <v>78</v>
      </c>
      <c r="E31" s="7">
        <v>31</v>
      </c>
      <c r="F31" s="8">
        <v>19</v>
      </c>
      <c r="G31" s="8"/>
    </row>
    <row r="32" spans="1:7" ht="20" customHeight="1" x14ac:dyDescent="0.2">
      <c r="A32" s="14"/>
      <c r="B32" s="5">
        <v>31</v>
      </c>
      <c r="C32" s="10" t="s">
        <v>32</v>
      </c>
      <c r="D32" s="8">
        <v>72</v>
      </c>
      <c r="E32" s="7">
        <v>30</v>
      </c>
      <c r="F32" s="8">
        <v>19</v>
      </c>
      <c r="G32" s="8"/>
    </row>
    <row r="33" spans="1:7" ht="20" customHeight="1" x14ac:dyDescent="0.2">
      <c r="A33" s="14"/>
      <c r="B33" s="5">
        <v>32</v>
      </c>
      <c r="C33" s="10" t="s">
        <v>33</v>
      </c>
      <c r="D33" s="8">
        <v>72</v>
      </c>
      <c r="E33" s="7">
        <v>26</v>
      </c>
      <c r="F33" s="8">
        <v>34</v>
      </c>
      <c r="G33" s="8"/>
    </row>
    <row r="34" spans="1:7" ht="20" customHeight="1" x14ac:dyDescent="0.2">
      <c r="A34" s="14"/>
      <c r="B34" s="5">
        <v>33</v>
      </c>
      <c r="C34" s="10" t="s">
        <v>34</v>
      </c>
      <c r="D34" s="8">
        <v>68</v>
      </c>
      <c r="E34" s="7">
        <v>25</v>
      </c>
      <c r="F34" s="8">
        <v>19</v>
      </c>
      <c r="G34" s="8"/>
    </row>
    <row r="35" spans="1:7" ht="20" customHeight="1" x14ac:dyDescent="0.2">
      <c r="A35" s="14"/>
      <c r="B35" s="5">
        <v>34</v>
      </c>
      <c r="C35" s="10" t="s">
        <v>35</v>
      </c>
      <c r="D35" s="8">
        <v>74</v>
      </c>
      <c r="E35" s="7">
        <v>22</v>
      </c>
      <c r="F35" s="8">
        <v>18</v>
      </c>
      <c r="G35" s="8"/>
    </row>
    <row r="36" spans="1:7" ht="20" customHeight="1" x14ac:dyDescent="0.2">
      <c r="A36" s="14"/>
      <c r="B36" s="5">
        <v>35</v>
      </c>
      <c r="C36" s="10" t="s">
        <v>36</v>
      </c>
      <c r="D36" s="8">
        <v>67</v>
      </c>
      <c r="E36" s="7">
        <v>22</v>
      </c>
      <c r="F36" s="8">
        <v>18</v>
      </c>
      <c r="G36" s="8"/>
    </row>
    <row r="37" spans="1:7" ht="20" customHeight="1" x14ac:dyDescent="0.2">
      <c r="A37" s="14"/>
      <c r="B37" s="5">
        <v>36</v>
      </c>
      <c r="C37" s="10" t="s">
        <v>37</v>
      </c>
      <c r="D37" s="8">
        <v>63</v>
      </c>
      <c r="E37" s="7">
        <v>21</v>
      </c>
      <c r="F37" s="8">
        <v>21</v>
      </c>
      <c r="G37" s="8"/>
    </row>
    <row r="38" spans="1:7" ht="20" customHeight="1" x14ac:dyDescent="0.2">
      <c r="A38" s="14"/>
      <c r="B38" s="5">
        <v>37</v>
      </c>
      <c r="C38" s="10" t="s">
        <v>38</v>
      </c>
      <c r="D38" s="8">
        <v>72</v>
      </c>
      <c r="E38" s="7">
        <v>23</v>
      </c>
      <c r="F38" s="8">
        <v>18</v>
      </c>
      <c r="G38" s="8"/>
    </row>
    <row r="39" spans="1:7" ht="20" customHeight="1" x14ac:dyDescent="0.2">
      <c r="A39" s="14"/>
      <c r="B39" s="5">
        <v>38</v>
      </c>
      <c r="C39" s="10" t="s">
        <v>39</v>
      </c>
      <c r="D39" s="8">
        <v>66</v>
      </c>
      <c r="E39" s="7">
        <v>22</v>
      </c>
      <c r="F39" s="8">
        <v>18</v>
      </c>
      <c r="G39" s="8"/>
    </row>
    <row r="40" spans="1:7" ht="20" customHeight="1" x14ac:dyDescent="0.2">
      <c r="A40" s="14"/>
      <c r="B40" s="5">
        <v>39</v>
      </c>
      <c r="C40" s="10" t="s">
        <v>40</v>
      </c>
      <c r="D40" s="8">
        <v>72</v>
      </c>
      <c r="E40" s="7">
        <v>22</v>
      </c>
      <c r="F40" s="8">
        <v>21</v>
      </c>
      <c r="G40" s="8"/>
    </row>
    <row r="41" spans="1:7" ht="20" customHeight="1" x14ac:dyDescent="0.2">
      <c r="A41" s="14">
        <v>4</v>
      </c>
      <c r="B41" s="5">
        <v>40</v>
      </c>
      <c r="C41" s="10" t="s">
        <v>41</v>
      </c>
      <c r="D41" s="8">
        <v>66</v>
      </c>
      <c r="E41" s="7">
        <v>20</v>
      </c>
      <c r="F41" s="8">
        <v>18</v>
      </c>
      <c r="G41" s="8"/>
    </row>
    <row r="42" spans="1:7" ht="20" customHeight="1" x14ac:dyDescent="0.2">
      <c r="A42" s="14"/>
      <c r="B42" s="5">
        <v>41</v>
      </c>
      <c r="C42" s="10" t="s">
        <v>42</v>
      </c>
      <c r="D42" s="8">
        <v>61</v>
      </c>
      <c r="E42" s="7">
        <v>22</v>
      </c>
      <c r="F42" s="8">
        <v>19</v>
      </c>
      <c r="G42" s="8"/>
    </row>
    <row r="43" spans="1:7" ht="20" customHeight="1" x14ac:dyDescent="0.2">
      <c r="A43" s="14"/>
      <c r="B43" s="5">
        <v>42</v>
      </c>
      <c r="C43" s="10" t="s">
        <v>43</v>
      </c>
      <c r="D43" s="8">
        <v>67</v>
      </c>
      <c r="E43" s="7">
        <v>28</v>
      </c>
      <c r="F43" s="8">
        <v>19</v>
      </c>
      <c r="G43" s="8"/>
    </row>
    <row r="44" spans="1:7" ht="20" customHeight="1" x14ac:dyDescent="0.2">
      <c r="A44" s="14"/>
      <c r="B44" s="5">
        <v>43</v>
      </c>
      <c r="C44" s="10" t="s">
        <v>44</v>
      </c>
      <c r="D44" s="8">
        <v>67</v>
      </c>
      <c r="E44" s="7">
        <v>24</v>
      </c>
      <c r="F44" s="8">
        <v>20</v>
      </c>
      <c r="G44" s="8"/>
    </row>
    <row r="45" spans="1:7" ht="20" customHeight="1" x14ac:dyDescent="0.2">
      <c r="A45" s="14"/>
      <c r="B45" s="5">
        <v>44</v>
      </c>
      <c r="C45" s="10" t="s">
        <v>45</v>
      </c>
      <c r="D45" s="8">
        <v>54</v>
      </c>
      <c r="E45" s="7">
        <v>22</v>
      </c>
      <c r="F45" s="8">
        <v>18</v>
      </c>
      <c r="G45" s="8"/>
    </row>
    <row r="46" spans="1:7" ht="20" customHeight="1" x14ac:dyDescent="0.2">
      <c r="A46" s="14"/>
      <c r="B46" s="5">
        <v>45</v>
      </c>
      <c r="C46" s="10" t="s">
        <v>46</v>
      </c>
      <c r="D46" s="8">
        <v>61</v>
      </c>
      <c r="E46" s="7">
        <v>21</v>
      </c>
      <c r="F46" s="8">
        <v>19</v>
      </c>
      <c r="G46" s="8"/>
    </row>
    <row r="47" spans="1:7" ht="20" customHeight="1" x14ac:dyDescent="0.2">
      <c r="A47" s="14"/>
      <c r="B47" s="5">
        <v>46</v>
      </c>
      <c r="C47" s="10" t="s">
        <v>47</v>
      </c>
      <c r="D47" s="8">
        <v>61</v>
      </c>
      <c r="E47" s="7">
        <v>21</v>
      </c>
      <c r="F47" s="8">
        <v>22</v>
      </c>
      <c r="G47" s="8"/>
    </row>
    <row r="48" spans="1:7" ht="20" customHeight="1" x14ac:dyDescent="0.2">
      <c r="A48" s="14"/>
      <c r="B48" s="5">
        <v>47</v>
      </c>
      <c r="C48" s="10" t="s">
        <v>48</v>
      </c>
      <c r="D48" s="8">
        <v>63</v>
      </c>
      <c r="E48" s="7">
        <v>20</v>
      </c>
      <c r="F48" s="8">
        <v>18</v>
      </c>
      <c r="G48" s="8"/>
    </row>
    <row r="49" spans="1:7" ht="20" customHeight="1" x14ac:dyDescent="0.2">
      <c r="A49" s="14"/>
      <c r="B49" s="5">
        <v>48</v>
      </c>
      <c r="C49" s="10" t="s">
        <v>49</v>
      </c>
      <c r="D49" s="8">
        <v>56</v>
      </c>
      <c r="E49" s="7">
        <v>23</v>
      </c>
      <c r="F49" s="8">
        <v>19</v>
      </c>
      <c r="G49" s="8"/>
    </row>
    <row r="50" spans="1:7" ht="20" customHeight="1" x14ac:dyDescent="0.2">
      <c r="A50" s="14"/>
      <c r="B50" s="5">
        <v>49</v>
      </c>
      <c r="C50" s="10" t="s">
        <v>50</v>
      </c>
      <c r="D50" s="8">
        <v>72</v>
      </c>
      <c r="E50" s="7">
        <v>25</v>
      </c>
      <c r="F50" s="8">
        <v>20</v>
      </c>
      <c r="G50" s="8"/>
    </row>
    <row r="51" spans="1:7" ht="20" customHeight="1" x14ac:dyDescent="0.2">
      <c r="A51" s="14"/>
      <c r="B51" s="5">
        <v>50</v>
      </c>
      <c r="C51" s="10" t="s">
        <v>51</v>
      </c>
      <c r="D51" s="8">
        <v>74</v>
      </c>
      <c r="E51" s="7">
        <v>22</v>
      </c>
      <c r="F51" s="8">
        <v>20</v>
      </c>
      <c r="G51" s="8"/>
    </row>
    <row r="52" spans="1:7" ht="20" customHeight="1" x14ac:dyDescent="0.2">
      <c r="A52" s="14"/>
      <c r="B52" s="5">
        <v>51</v>
      </c>
      <c r="C52" s="10" t="s">
        <v>52</v>
      </c>
      <c r="D52" s="8">
        <v>75</v>
      </c>
      <c r="E52" s="7">
        <v>21</v>
      </c>
      <c r="F52" s="8">
        <v>19</v>
      </c>
      <c r="G52" s="8"/>
    </row>
    <row r="53" spans="1:7" ht="20" customHeight="1" x14ac:dyDescent="0.2">
      <c r="A53" s="14"/>
      <c r="B53" s="5">
        <v>52</v>
      </c>
      <c r="C53" s="10" t="s">
        <v>53</v>
      </c>
      <c r="D53" s="8">
        <v>78</v>
      </c>
      <c r="E53" s="7">
        <v>22</v>
      </c>
      <c r="F53" s="8">
        <v>18</v>
      </c>
      <c r="G53" s="8"/>
    </row>
    <row r="54" spans="1:7" ht="20" customHeight="1" x14ac:dyDescent="0.2">
      <c r="A54" s="14"/>
      <c r="B54" s="5">
        <v>53</v>
      </c>
      <c r="C54" s="10" t="s">
        <v>54</v>
      </c>
      <c r="D54" s="8">
        <v>73</v>
      </c>
      <c r="E54" s="7">
        <v>20</v>
      </c>
      <c r="F54" s="8">
        <v>25</v>
      </c>
      <c r="G54" s="8"/>
    </row>
  </sheetData>
  <mergeCells count="4">
    <mergeCell ref="A2:A13"/>
    <mergeCell ref="A14:A26"/>
    <mergeCell ref="A27:A40"/>
    <mergeCell ref="A41:A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15EC-82B2-B14B-AA99-C3BA441B190C}">
  <dimension ref="A1:BB54"/>
  <sheetViews>
    <sheetView topLeftCell="R1" workbookViewId="0">
      <pane ySplit="1" topLeftCell="A8" activePane="bottomLeft" state="frozen"/>
      <selection pane="bottomLeft" activeCell="F22" sqref="F22"/>
    </sheetView>
  </sheetViews>
  <sheetFormatPr baseColWidth="10" defaultRowHeight="16" x14ac:dyDescent="0.2"/>
  <cols>
    <col min="1" max="1" width="14.5" style="5" bestFit="1" customWidth="1"/>
    <col min="2" max="4" width="10.5" style="5" bestFit="1" customWidth="1"/>
    <col min="5" max="53" width="10.5" bestFit="1" customWidth="1"/>
  </cols>
  <sheetData>
    <row r="1" spans="1:54" s="13" customFormat="1" x14ac:dyDescent="0.2">
      <c r="A1" s="12" t="s">
        <v>60</v>
      </c>
      <c r="B1" s="15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>
        <v>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5">
        <v>3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6">
        <v>4</v>
      </c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 x14ac:dyDescent="0.2">
      <c r="A2" s="1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>
        <v>32</v>
      </c>
      <c r="AH2" s="5">
        <v>33</v>
      </c>
      <c r="AI2" s="5">
        <v>34</v>
      </c>
      <c r="AJ2" s="5">
        <v>35</v>
      </c>
      <c r="AK2" s="5">
        <v>36</v>
      </c>
      <c r="AL2" s="5">
        <v>37</v>
      </c>
      <c r="AM2" s="5">
        <v>38</v>
      </c>
      <c r="AN2" s="5">
        <v>39</v>
      </c>
      <c r="AO2" s="5">
        <v>40</v>
      </c>
      <c r="AP2" s="5">
        <v>41</v>
      </c>
      <c r="AQ2" s="5">
        <v>42</v>
      </c>
      <c r="AR2" s="5">
        <v>43</v>
      </c>
      <c r="AS2" s="5">
        <v>44</v>
      </c>
      <c r="AT2" s="5">
        <v>45</v>
      </c>
      <c r="AU2" s="5">
        <v>46</v>
      </c>
      <c r="AV2" s="5">
        <v>47</v>
      </c>
      <c r="AW2" s="5">
        <v>48</v>
      </c>
      <c r="AX2" s="5">
        <v>49</v>
      </c>
      <c r="AY2" s="5">
        <v>50</v>
      </c>
      <c r="AZ2" s="5">
        <v>51</v>
      </c>
      <c r="BA2" s="5">
        <v>52</v>
      </c>
      <c r="BB2" s="5">
        <v>53</v>
      </c>
    </row>
    <row r="3" spans="1:54" x14ac:dyDescent="0.2">
      <c r="A3" s="10" t="s">
        <v>59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0" t="s">
        <v>26</v>
      </c>
      <c r="AA3" s="10" t="s">
        <v>27</v>
      </c>
      <c r="AB3" s="10" t="s">
        <v>28</v>
      </c>
      <c r="AC3" s="10" t="s">
        <v>29</v>
      </c>
      <c r="AD3" s="10" t="s">
        <v>30</v>
      </c>
      <c r="AE3" s="10" t="s">
        <v>31</v>
      </c>
      <c r="AF3" s="10" t="s">
        <v>32</v>
      </c>
      <c r="AG3" s="10" t="s">
        <v>33</v>
      </c>
      <c r="AH3" s="10" t="s">
        <v>34</v>
      </c>
      <c r="AI3" s="10" t="s">
        <v>35</v>
      </c>
      <c r="AJ3" s="10" t="s">
        <v>36</v>
      </c>
      <c r="AK3" s="10" t="s">
        <v>37</v>
      </c>
      <c r="AL3" s="10" t="s">
        <v>38</v>
      </c>
      <c r="AM3" s="10" t="s">
        <v>39</v>
      </c>
      <c r="AN3" s="10" t="s">
        <v>40</v>
      </c>
      <c r="AO3" s="10" t="s">
        <v>41</v>
      </c>
      <c r="AP3" s="10" t="s">
        <v>42</v>
      </c>
      <c r="AQ3" s="10" t="s">
        <v>43</v>
      </c>
      <c r="AR3" s="10" t="s">
        <v>44</v>
      </c>
      <c r="AS3" s="10" t="s">
        <v>45</v>
      </c>
      <c r="AT3" s="10" t="s">
        <v>46</v>
      </c>
      <c r="AU3" s="10" t="s">
        <v>47</v>
      </c>
      <c r="AV3" s="10" t="s">
        <v>48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0" t="s">
        <v>54</v>
      </c>
    </row>
    <row r="4" spans="1:54" x14ac:dyDescent="0.2">
      <c r="A4" s="2" t="s">
        <v>56</v>
      </c>
      <c r="B4" s="6">
        <v>0.71</v>
      </c>
      <c r="C4" s="8">
        <v>76</v>
      </c>
      <c r="D4" s="8">
        <v>69</v>
      </c>
      <c r="E4" s="8">
        <v>73</v>
      </c>
      <c r="F4" s="8">
        <v>73</v>
      </c>
      <c r="G4" s="8">
        <v>69</v>
      </c>
      <c r="H4" s="8">
        <v>69</v>
      </c>
      <c r="I4" s="8">
        <v>70</v>
      </c>
      <c r="J4" s="8">
        <v>66</v>
      </c>
      <c r="K4" s="8">
        <v>67</v>
      </c>
      <c r="L4" s="8">
        <v>68</v>
      </c>
      <c r="M4" s="8">
        <v>72</v>
      </c>
      <c r="N4" s="8">
        <v>67</v>
      </c>
      <c r="O4" s="8">
        <v>75</v>
      </c>
      <c r="P4" s="8">
        <v>71</v>
      </c>
      <c r="Q4" s="8">
        <v>71</v>
      </c>
      <c r="R4" s="8">
        <v>82</v>
      </c>
      <c r="S4" s="8">
        <v>100</v>
      </c>
      <c r="T4" s="8">
        <v>77</v>
      </c>
      <c r="U4" s="8">
        <v>73</v>
      </c>
      <c r="V4" s="8">
        <v>75</v>
      </c>
      <c r="W4" s="8">
        <v>74</v>
      </c>
      <c r="X4" s="8">
        <v>92</v>
      </c>
      <c r="Y4" s="8">
        <v>69</v>
      </c>
      <c r="Z4" s="8">
        <v>72</v>
      </c>
      <c r="AA4" s="8">
        <v>70</v>
      </c>
      <c r="AB4" s="8">
        <v>69</v>
      </c>
      <c r="AC4" s="8">
        <v>72</v>
      </c>
      <c r="AD4" s="8">
        <v>75</v>
      </c>
      <c r="AE4" s="8">
        <v>78</v>
      </c>
      <c r="AF4" s="8">
        <v>72</v>
      </c>
      <c r="AG4" s="8">
        <v>72</v>
      </c>
      <c r="AH4" s="8">
        <v>68</v>
      </c>
      <c r="AI4" s="8">
        <v>74</v>
      </c>
      <c r="AJ4" s="8">
        <v>67</v>
      </c>
      <c r="AK4" s="8">
        <v>63</v>
      </c>
      <c r="AL4" s="8">
        <v>72</v>
      </c>
      <c r="AM4" s="8">
        <v>66</v>
      </c>
      <c r="AN4" s="8">
        <v>72</v>
      </c>
      <c r="AO4" s="8">
        <v>66</v>
      </c>
      <c r="AP4" s="8">
        <v>61</v>
      </c>
      <c r="AQ4" s="8">
        <v>67</v>
      </c>
      <c r="AR4" s="8">
        <v>67</v>
      </c>
      <c r="AS4" s="8">
        <v>54</v>
      </c>
      <c r="AT4" s="8">
        <v>61</v>
      </c>
      <c r="AU4" s="8">
        <v>61</v>
      </c>
      <c r="AV4" s="8">
        <v>63</v>
      </c>
      <c r="AW4" s="8">
        <v>56</v>
      </c>
      <c r="AX4" s="8">
        <v>72</v>
      </c>
      <c r="AY4" s="8">
        <v>74</v>
      </c>
      <c r="AZ4" s="8">
        <v>75</v>
      </c>
      <c r="BA4" s="8">
        <v>78</v>
      </c>
      <c r="BB4" s="8">
        <v>73</v>
      </c>
    </row>
    <row r="5" spans="1:54" x14ac:dyDescent="0.2">
      <c r="A5" s="3" t="s">
        <v>57</v>
      </c>
      <c r="B5" s="7">
        <v>24</v>
      </c>
      <c r="C5" s="7">
        <v>22</v>
      </c>
      <c r="D5" s="7">
        <v>19</v>
      </c>
      <c r="E5" s="7">
        <v>23</v>
      </c>
      <c r="F5" s="7">
        <v>21</v>
      </c>
      <c r="G5" s="7">
        <v>23</v>
      </c>
      <c r="H5" s="7">
        <v>25</v>
      </c>
      <c r="I5" s="7">
        <v>23</v>
      </c>
      <c r="J5" s="7">
        <v>26</v>
      </c>
      <c r="K5" s="7">
        <v>22</v>
      </c>
      <c r="L5" s="7">
        <v>22</v>
      </c>
      <c r="M5" s="7">
        <v>26</v>
      </c>
      <c r="N5" s="7">
        <v>25</v>
      </c>
      <c r="O5" s="7">
        <v>24</v>
      </c>
      <c r="P5" s="7">
        <v>23</v>
      </c>
      <c r="Q5" s="7">
        <v>22</v>
      </c>
      <c r="R5" s="7">
        <v>25</v>
      </c>
      <c r="S5" s="7">
        <v>27</v>
      </c>
      <c r="T5" s="7">
        <v>31</v>
      </c>
      <c r="U5" s="7">
        <v>28</v>
      </c>
      <c r="V5" s="7">
        <v>30</v>
      </c>
      <c r="W5" s="7">
        <v>30</v>
      </c>
      <c r="X5" s="7">
        <v>28</v>
      </c>
      <c r="Y5" s="7">
        <v>29</v>
      </c>
      <c r="Z5" s="7">
        <v>29</v>
      </c>
      <c r="AA5" s="7">
        <v>26</v>
      </c>
      <c r="AB5" s="7">
        <v>27</v>
      </c>
      <c r="AC5" s="7">
        <v>25</v>
      </c>
      <c r="AD5" s="7">
        <v>41</v>
      </c>
      <c r="AE5" s="7">
        <v>31</v>
      </c>
      <c r="AF5" s="7">
        <v>30</v>
      </c>
      <c r="AG5" s="7">
        <v>26</v>
      </c>
      <c r="AH5" s="7">
        <v>25</v>
      </c>
      <c r="AI5" s="7">
        <v>22</v>
      </c>
      <c r="AJ5" s="7">
        <v>22</v>
      </c>
      <c r="AK5" s="7">
        <v>21</v>
      </c>
      <c r="AL5" s="7">
        <v>23</v>
      </c>
      <c r="AM5" s="7">
        <v>22</v>
      </c>
      <c r="AN5" s="7">
        <v>22</v>
      </c>
      <c r="AO5" s="7">
        <v>20</v>
      </c>
      <c r="AP5" s="7">
        <v>22</v>
      </c>
      <c r="AQ5" s="7">
        <v>28</v>
      </c>
      <c r="AR5" s="7">
        <v>24</v>
      </c>
      <c r="AS5" s="7">
        <v>22</v>
      </c>
      <c r="AT5" s="7">
        <v>21</v>
      </c>
      <c r="AU5" s="7">
        <v>21</v>
      </c>
      <c r="AV5" s="7">
        <v>20</v>
      </c>
      <c r="AW5" s="7">
        <v>23</v>
      </c>
      <c r="AX5" s="7">
        <v>25</v>
      </c>
      <c r="AY5" s="7">
        <v>22</v>
      </c>
      <c r="AZ5" s="7">
        <v>21</v>
      </c>
      <c r="BA5" s="7">
        <v>22</v>
      </c>
      <c r="BB5" s="7">
        <v>20</v>
      </c>
    </row>
    <row r="6" spans="1:54" x14ac:dyDescent="0.2">
      <c r="A6" s="2" t="s">
        <v>58</v>
      </c>
      <c r="B6" s="8">
        <v>19</v>
      </c>
      <c r="C6" s="8">
        <v>42</v>
      </c>
      <c r="D6" s="8">
        <v>22</v>
      </c>
      <c r="E6" s="8">
        <v>19</v>
      </c>
      <c r="F6" s="8">
        <v>18</v>
      </c>
      <c r="G6" s="8">
        <v>19</v>
      </c>
      <c r="H6" s="8">
        <v>20</v>
      </c>
      <c r="I6" s="8">
        <v>19</v>
      </c>
      <c r="J6" s="8">
        <v>18</v>
      </c>
      <c r="K6" s="8">
        <v>18</v>
      </c>
      <c r="L6" s="8">
        <v>18</v>
      </c>
      <c r="M6" s="8">
        <v>19</v>
      </c>
      <c r="N6" s="8">
        <v>19</v>
      </c>
      <c r="O6" s="8">
        <v>19</v>
      </c>
      <c r="P6" s="8">
        <v>19</v>
      </c>
      <c r="Q6" s="8">
        <v>17</v>
      </c>
      <c r="R6" s="8">
        <v>18</v>
      </c>
      <c r="S6" s="8">
        <v>18</v>
      </c>
      <c r="T6" s="8">
        <v>19</v>
      </c>
      <c r="U6" s="8">
        <v>18</v>
      </c>
      <c r="V6" s="8">
        <v>22</v>
      </c>
      <c r="W6" s="8">
        <v>20</v>
      </c>
      <c r="X6" s="8">
        <v>17</v>
      </c>
      <c r="Y6" s="8">
        <v>17</v>
      </c>
      <c r="Z6" s="8">
        <v>18</v>
      </c>
      <c r="AA6" s="8">
        <v>18</v>
      </c>
      <c r="AB6" s="8">
        <v>18</v>
      </c>
      <c r="AC6" s="8">
        <v>18</v>
      </c>
      <c r="AD6" s="8">
        <v>20</v>
      </c>
      <c r="AE6" s="8">
        <v>19</v>
      </c>
      <c r="AF6" s="8">
        <v>19</v>
      </c>
      <c r="AG6" s="8">
        <v>34</v>
      </c>
      <c r="AH6" s="8">
        <v>19</v>
      </c>
      <c r="AI6" s="8">
        <v>18</v>
      </c>
      <c r="AJ6" s="8">
        <v>18</v>
      </c>
      <c r="AK6" s="8">
        <v>21</v>
      </c>
      <c r="AL6" s="8">
        <v>18</v>
      </c>
      <c r="AM6" s="8">
        <v>18</v>
      </c>
      <c r="AN6" s="8">
        <v>21</v>
      </c>
      <c r="AO6" s="8">
        <v>18</v>
      </c>
      <c r="AP6" s="8">
        <v>19</v>
      </c>
      <c r="AQ6" s="8">
        <v>19</v>
      </c>
      <c r="AR6" s="8">
        <v>20</v>
      </c>
      <c r="AS6" s="8">
        <v>18</v>
      </c>
      <c r="AT6" s="8">
        <v>19</v>
      </c>
      <c r="AU6" s="8">
        <v>22</v>
      </c>
      <c r="AV6" s="8">
        <v>18</v>
      </c>
      <c r="AW6" s="8">
        <v>19</v>
      </c>
      <c r="AX6" s="8">
        <v>20</v>
      </c>
      <c r="AY6" s="8">
        <v>20</v>
      </c>
      <c r="AZ6" s="8">
        <v>19</v>
      </c>
      <c r="BA6" s="8">
        <v>18</v>
      </c>
      <c r="BB6" s="8">
        <v>25</v>
      </c>
    </row>
    <row r="7" spans="1:54" x14ac:dyDescent="0.2">
      <c r="A7" s="10"/>
      <c r="B7" s="8"/>
      <c r="C7" s="7"/>
      <c r="D7" s="8"/>
    </row>
    <row r="8" spans="1:54" x14ac:dyDescent="0.2">
      <c r="A8" s="10"/>
      <c r="B8" s="8"/>
      <c r="C8" s="7"/>
      <c r="D8" s="8"/>
    </row>
    <row r="9" spans="1:54" x14ac:dyDescent="0.2">
      <c r="A9" s="10"/>
      <c r="B9" s="8"/>
      <c r="C9" s="7"/>
      <c r="D9" s="8"/>
    </row>
    <row r="10" spans="1:54" x14ac:dyDescent="0.2">
      <c r="A10" s="10"/>
      <c r="B10" s="8"/>
      <c r="C10" s="7"/>
      <c r="D10" s="8"/>
    </row>
    <row r="11" spans="1:54" x14ac:dyDescent="0.2">
      <c r="A11" s="10"/>
      <c r="B11" s="8"/>
      <c r="C11" s="7"/>
      <c r="D11" s="8"/>
    </row>
    <row r="12" spans="1:54" x14ac:dyDescent="0.2">
      <c r="A12" s="10"/>
      <c r="B12" s="8"/>
      <c r="C12" s="7"/>
      <c r="D12" s="8"/>
    </row>
    <row r="13" spans="1:54" x14ac:dyDescent="0.2">
      <c r="A13" s="10"/>
      <c r="B13" s="8"/>
      <c r="C13" s="7"/>
      <c r="D13" s="8"/>
    </row>
    <row r="14" spans="1:54" x14ac:dyDescent="0.2">
      <c r="A14" s="10"/>
      <c r="B14" s="8"/>
      <c r="C14" s="7"/>
      <c r="D14" s="8"/>
    </row>
    <row r="15" spans="1:54" x14ac:dyDescent="0.2">
      <c r="A15" s="10"/>
      <c r="B15" s="8"/>
      <c r="C15" s="7"/>
      <c r="D15" s="8"/>
    </row>
    <row r="16" spans="1:54" x14ac:dyDescent="0.2">
      <c r="A16" s="10"/>
      <c r="B16" s="8"/>
      <c r="C16" s="7"/>
      <c r="D16" s="8"/>
    </row>
    <row r="17" spans="1:4" x14ac:dyDescent="0.2">
      <c r="A17" s="10"/>
      <c r="B17" s="8"/>
      <c r="C17" s="7"/>
      <c r="D17" s="8"/>
    </row>
    <row r="18" spans="1:4" x14ac:dyDescent="0.2">
      <c r="A18" s="10"/>
      <c r="B18" s="8"/>
      <c r="C18" s="7"/>
      <c r="D18" s="8"/>
    </row>
    <row r="19" spans="1:4" x14ac:dyDescent="0.2">
      <c r="A19" s="10"/>
      <c r="B19" s="8"/>
      <c r="C19" s="7"/>
      <c r="D19" s="8"/>
    </row>
    <row r="20" spans="1:4" x14ac:dyDescent="0.2">
      <c r="A20" s="10"/>
      <c r="B20" s="8"/>
      <c r="C20" s="7"/>
      <c r="D20" s="8"/>
    </row>
    <row r="21" spans="1:4" x14ac:dyDescent="0.2">
      <c r="A21" s="10"/>
      <c r="B21" s="8"/>
      <c r="C21" s="7"/>
      <c r="D21" s="8"/>
    </row>
    <row r="22" spans="1:4" x14ac:dyDescent="0.2">
      <c r="A22" s="10"/>
      <c r="B22" s="8"/>
      <c r="C22" s="7"/>
      <c r="D22" s="8"/>
    </row>
    <row r="23" spans="1:4" x14ac:dyDescent="0.2">
      <c r="A23" s="10"/>
      <c r="B23" s="8"/>
      <c r="C23" s="7"/>
      <c r="D23" s="8"/>
    </row>
    <row r="24" spans="1:4" x14ac:dyDescent="0.2">
      <c r="A24" s="10"/>
      <c r="B24" s="8"/>
      <c r="C24" s="7"/>
      <c r="D24" s="8"/>
    </row>
    <row r="25" spans="1:4" x14ac:dyDescent="0.2">
      <c r="A25" s="10"/>
      <c r="B25" s="8"/>
      <c r="C25" s="7"/>
      <c r="D25" s="8"/>
    </row>
    <row r="26" spans="1:4" x14ac:dyDescent="0.2">
      <c r="A26" s="10"/>
      <c r="B26" s="8"/>
      <c r="C26" s="7"/>
      <c r="D26" s="8"/>
    </row>
    <row r="27" spans="1:4" x14ac:dyDescent="0.2">
      <c r="A27" s="10"/>
      <c r="B27" s="8"/>
      <c r="C27" s="7"/>
      <c r="D27" s="8"/>
    </row>
    <row r="28" spans="1:4" x14ac:dyDescent="0.2">
      <c r="A28" s="10"/>
      <c r="B28" s="8"/>
      <c r="C28" s="7"/>
      <c r="D28" s="8"/>
    </row>
    <row r="29" spans="1:4" x14ac:dyDescent="0.2">
      <c r="A29" s="10"/>
      <c r="B29" s="8"/>
      <c r="C29" s="7"/>
      <c r="D29" s="8"/>
    </row>
    <row r="30" spans="1:4" x14ac:dyDescent="0.2">
      <c r="A30" s="10"/>
      <c r="B30" s="8"/>
      <c r="C30" s="7"/>
      <c r="D30" s="8"/>
    </row>
    <row r="31" spans="1:4" x14ac:dyDescent="0.2">
      <c r="A31" s="10"/>
      <c r="B31" s="8"/>
      <c r="C31" s="7"/>
      <c r="D31" s="8"/>
    </row>
    <row r="32" spans="1:4" x14ac:dyDescent="0.2">
      <c r="A32" s="10"/>
      <c r="B32" s="8"/>
      <c r="C32" s="7"/>
      <c r="D32" s="8"/>
    </row>
    <row r="33" spans="1:4" x14ac:dyDescent="0.2">
      <c r="A33" s="10"/>
      <c r="B33" s="8"/>
      <c r="C33" s="7"/>
      <c r="D33" s="8"/>
    </row>
    <row r="34" spans="1:4" x14ac:dyDescent="0.2">
      <c r="A34" s="10"/>
      <c r="B34" s="8"/>
      <c r="C34" s="7"/>
      <c r="D34" s="8"/>
    </row>
    <row r="35" spans="1:4" x14ac:dyDescent="0.2">
      <c r="A35" s="10"/>
      <c r="B35" s="8"/>
      <c r="C35" s="7"/>
      <c r="D35" s="8"/>
    </row>
    <row r="36" spans="1:4" x14ac:dyDescent="0.2">
      <c r="A36" s="10"/>
      <c r="B36" s="8"/>
      <c r="C36" s="7"/>
      <c r="D36" s="8"/>
    </row>
    <row r="37" spans="1:4" x14ac:dyDescent="0.2">
      <c r="A37" s="10"/>
      <c r="B37" s="8"/>
      <c r="C37" s="7"/>
      <c r="D37" s="8"/>
    </row>
    <row r="38" spans="1:4" x14ac:dyDescent="0.2">
      <c r="A38" s="10"/>
      <c r="B38" s="8"/>
      <c r="C38" s="7"/>
      <c r="D38" s="8"/>
    </row>
    <row r="39" spans="1:4" x14ac:dyDescent="0.2">
      <c r="A39" s="10"/>
      <c r="B39" s="8"/>
      <c r="C39" s="7"/>
      <c r="D39" s="8"/>
    </row>
    <row r="40" spans="1:4" x14ac:dyDescent="0.2">
      <c r="A40" s="10"/>
      <c r="B40" s="8"/>
      <c r="C40" s="7"/>
      <c r="D40" s="8"/>
    </row>
    <row r="41" spans="1:4" x14ac:dyDescent="0.2">
      <c r="A41" s="10"/>
      <c r="B41" s="8"/>
      <c r="C41" s="7"/>
      <c r="D41" s="8"/>
    </row>
    <row r="42" spans="1:4" x14ac:dyDescent="0.2">
      <c r="A42" s="10"/>
      <c r="B42" s="8"/>
      <c r="C42" s="7"/>
      <c r="D42" s="8"/>
    </row>
    <row r="43" spans="1:4" x14ac:dyDescent="0.2">
      <c r="A43" s="10"/>
      <c r="B43" s="8"/>
      <c r="C43" s="7"/>
      <c r="D43" s="8"/>
    </row>
    <row r="44" spans="1:4" x14ac:dyDescent="0.2">
      <c r="A44" s="10"/>
      <c r="B44" s="8"/>
      <c r="C44" s="7"/>
      <c r="D44" s="8"/>
    </row>
    <row r="45" spans="1:4" x14ac:dyDescent="0.2">
      <c r="A45" s="10"/>
      <c r="B45" s="8"/>
      <c r="C45" s="7"/>
      <c r="D45" s="8"/>
    </row>
    <row r="46" spans="1:4" x14ac:dyDescent="0.2">
      <c r="A46" s="10"/>
      <c r="B46" s="8"/>
      <c r="C46" s="7"/>
      <c r="D46" s="8"/>
    </row>
    <row r="47" spans="1:4" x14ac:dyDescent="0.2">
      <c r="A47" s="10"/>
      <c r="B47" s="8"/>
      <c r="C47" s="7"/>
      <c r="D47" s="8"/>
    </row>
    <row r="48" spans="1:4" x14ac:dyDescent="0.2">
      <c r="A48" s="10"/>
      <c r="B48" s="8"/>
      <c r="C48" s="7"/>
      <c r="D48" s="8"/>
    </row>
    <row r="49" spans="1:4" x14ac:dyDescent="0.2">
      <c r="A49" s="10"/>
      <c r="B49" s="8"/>
      <c r="C49" s="7"/>
      <c r="D49" s="8"/>
    </row>
    <row r="50" spans="1:4" x14ac:dyDescent="0.2">
      <c r="A50" s="10"/>
      <c r="B50" s="8"/>
      <c r="C50" s="7"/>
      <c r="D50" s="8"/>
    </row>
    <row r="51" spans="1:4" x14ac:dyDescent="0.2">
      <c r="A51" s="10"/>
      <c r="B51" s="8"/>
      <c r="C51" s="7"/>
      <c r="D51" s="8"/>
    </row>
    <row r="52" spans="1:4" x14ac:dyDescent="0.2">
      <c r="A52" s="10"/>
      <c r="B52" s="8"/>
      <c r="C52" s="7"/>
      <c r="D52" s="8"/>
    </row>
    <row r="53" spans="1:4" x14ac:dyDescent="0.2">
      <c r="A53" s="10"/>
      <c r="B53" s="8"/>
      <c r="C53" s="7"/>
      <c r="D53" s="8"/>
    </row>
    <row r="54" spans="1:4" x14ac:dyDescent="0.2">
      <c r="A54" s="10"/>
      <c r="B54" s="8"/>
      <c r="C54" s="7"/>
      <c r="D54" s="8"/>
    </row>
  </sheetData>
  <mergeCells count="4">
    <mergeCell ref="B1:M1"/>
    <mergeCell ref="N1:Z1"/>
    <mergeCell ref="AA1:AN1"/>
    <mergeCell ref="AO1:B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2562-73FC-5743-9571-F0CD42E073D0}">
  <dimension ref="A1:BB54"/>
  <sheetViews>
    <sheetView tabSelected="1" workbookViewId="0">
      <selection activeCell="J30" sqref="J30"/>
    </sheetView>
  </sheetViews>
  <sheetFormatPr baseColWidth="10" defaultRowHeight="16" x14ac:dyDescent="0.2"/>
  <cols>
    <col min="1" max="1" width="14.5" style="5" bestFit="1" customWidth="1"/>
    <col min="2" max="3" width="10.5" style="5" bestFit="1" customWidth="1"/>
    <col min="4" max="4" width="12.83203125" style="5" bestFit="1" customWidth="1"/>
    <col min="5" max="53" width="10.5" bestFit="1" customWidth="1"/>
  </cols>
  <sheetData>
    <row r="1" spans="1:54" s="13" customFormat="1" x14ac:dyDescent="0.2">
      <c r="A1" s="12" t="s">
        <v>60</v>
      </c>
      <c r="B1" s="15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>
        <v>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5">
        <v>3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6">
        <v>4</v>
      </c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 x14ac:dyDescent="0.2">
      <c r="A2" s="1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>
        <v>32</v>
      </c>
      <c r="AH2" s="5">
        <v>33</v>
      </c>
      <c r="AI2" s="5">
        <v>34</v>
      </c>
      <c r="AJ2" s="5">
        <v>35</v>
      </c>
      <c r="AK2" s="5">
        <v>36</v>
      </c>
      <c r="AL2" s="5">
        <v>37</v>
      </c>
      <c r="AM2" s="5">
        <v>38</v>
      </c>
      <c r="AN2" s="5">
        <v>39</v>
      </c>
      <c r="AO2" s="5">
        <v>40</v>
      </c>
      <c r="AP2" s="5">
        <v>41</v>
      </c>
      <c r="AQ2" s="5">
        <v>42</v>
      </c>
      <c r="AR2" s="5">
        <v>43</v>
      </c>
      <c r="AS2" s="5">
        <v>44</v>
      </c>
      <c r="AT2" s="5">
        <v>45</v>
      </c>
      <c r="AU2" s="5">
        <v>46</v>
      </c>
      <c r="AV2" s="5">
        <v>47</v>
      </c>
      <c r="AW2" s="5">
        <v>48</v>
      </c>
      <c r="AX2" s="5">
        <v>49</v>
      </c>
      <c r="AY2" s="5">
        <v>50</v>
      </c>
      <c r="AZ2" s="5">
        <v>51</v>
      </c>
      <c r="BA2" s="5">
        <v>52</v>
      </c>
      <c r="BB2" s="5">
        <v>53</v>
      </c>
    </row>
    <row r="3" spans="1:54" x14ac:dyDescent="0.2">
      <c r="A3" s="10" t="s">
        <v>59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0" t="s">
        <v>26</v>
      </c>
      <c r="AA3" s="10" t="s">
        <v>27</v>
      </c>
      <c r="AB3" s="10" t="s">
        <v>28</v>
      </c>
      <c r="AC3" s="10" t="s">
        <v>29</v>
      </c>
      <c r="AD3" s="10" t="s">
        <v>30</v>
      </c>
      <c r="AE3" s="10" t="s">
        <v>31</v>
      </c>
      <c r="AF3" s="10" t="s">
        <v>32</v>
      </c>
      <c r="AG3" s="10" t="s">
        <v>33</v>
      </c>
      <c r="AH3" s="10" t="s">
        <v>34</v>
      </c>
      <c r="AI3" s="10" t="s">
        <v>35</v>
      </c>
      <c r="AJ3" s="10" t="s">
        <v>36</v>
      </c>
      <c r="AK3" s="10" t="s">
        <v>37</v>
      </c>
      <c r="AL3" s="10" t="s">
        <v>38</v>
      </c>
      <c r="AM3" s="10" t="s">
        <v>39</v>
      </c>
      <c r="AN3" s="10" t="s">
        <v>40</v>
      </c>
      <c r="AO3" s="10" t="s">
        <v>41</v>
      </c>
      <c r="AP3" s="10" t="s">
        <v>42</v>
      </c>
      <c r="AQ3" s="10" t="s">
        <v>43</v>
      </c>
      <c r="AR3" s="10" t="s">
        <v>44</v>
      </c>
      <c r="AS3" s="10" t="s">
        <v>45</v>
      </c>
      <c r="AT3" s="10" t="s">
        <v>46</v>
      </c>
      <c r="AU3" s="10" t="s">
        <v>47</v>
      </c>
      <c r="AV3" s="10" t="s">
        <v>48</v>
      </c>
      <c r="AW3" s="10" t="s">
        <v>49</v>
      </c>
      <c r="AX3" s="10" t="s">
        <v>50</v>
      </c>
      <c r="AY3" s="10" t="s">
        <v>51</v>
      </c>
      <c r="AZ3" s="10" t="s">
        <v>52</v>
      </c>
      <c r="BA3" s="10" t="s">
        <v>53</v>
      </c>
      <c r="BB3" s="10" t="s">
        <v>54</v>
      </c>
    </row>
    <row r="4" spans="1:54" x14ac:dyDescent="0.2">
      <c r="A4" s="2" t="s">
        <v>56</v>
      </c>
      <c r="B4" s="8">
        <v>71</v>
      </c>
      <c r="C4" s="8">
        <v>76</v>
      </c>
      <c r="D4" s="8">
        <v>69</v>
      </c>
      <c r="E4" s="8">
        <v>73</v>
      </c>
      <c r="F4" s="8">
        <v>73</v>
      </c>
      <c r="G4" s="8">
        <v>69</v>
      </c>
      <c r="H4" s="8">
        <v>69</v>
      </c>
      <c r="I4" s="8">
        <v>70</v>
      </c>
      <c r="J4" s="8">
        <v>66</v>
      </c>
      <c r="K4" s="8">
        <v>67</v>
      </c>
      <c r="L4" s="8">
        <v>68</v>
      </c>
      <c r="M4" s="8">
        <v>72</v>
      </c>
      <c r="N4" s="8">
        <v>67</v>
      </c>
      <c r="O4" s="8">
        <v>75</v>
      </c>
      <c r="P4" s="8">
        <v>71</v>
      </c>
      <c r="Q4" s="8">
        <v>71</v>
      </c>
      <c r="R4" s="8">
        <v>82</v>
      </c>
      <c r="S4" s="8">
        <v>100</v>
      </c>
      <c r="T4" s="8">
        <v>77</v>
      </c>
      <c r="U4" s="8">
        <v>73</v>
      </c>
      <c r="V4" s="8">
        <v>75</v>
      </c>
      <c r="W4" s="8">
        <v>74</v>
      </c>
      <c r="X4" s="8">
        <v>92</v>
      </c>
      <c r="Y4" s="8">
        <v>69</v>
      </c>
      <c r="Z4" s="8">
        <v>72</v>
      </c>
      <c r="AA4" s="8">
        <v>70</v>
      </c>
      <c r="AB4" s="8">
        <v>69</v>
      </c>
      <c r="AC4" s="8">
        <v>72</v>
      </c>
      <c r="AD4" s="8">
        <v>75</v>
      </c>
      <c r="AE4" s="8">
        <v>78</v>
      </c>
      <c r="AF4" s="8">
        <v>72</v>
      </c>
      <c r="AG4" s="8">
        <v>72</v>
      </c>
      <c r="AH4" s="8">
        <v>68</v>
      </c>
      <c r="AI4" s="8">
        <v>74</v>
      </c>
      <c r="AJ4" s="8">
        <v>67</v>
      </c>
      <c r="AK4" s="8">
        <v>63</v>
      </c>
      <c r="AL4" s="8">
        <v>72</v>
      </c>
      <c r="AM4" s="8">
        <v>66</v>
      </c>
      <c r="AN4" s="8">
        <v>72</v>
      </c>
      <c r="AO4" s="8">
        <v>66</v>
      </c>
      <c r="AP4" s="8">
        <v>61</v>
      </c>
      <c r="AQ4" s="8">
        <v>67</v>
      </c>
      <c r="AR4" s="8">
        <v>67</v>
      </c>
      <c r="AS4" s="8">
        <v>54</v>
      </c>
      <c r="AT4" s="8">
        <v>61</v>
      </c>
      <c r="AU4" s="8">
        <v>61</v>
      </c>
      <c r="AV4" s="8">
        <v>63</v>
      </c>
      <c r="AW4" s="8">
        <v>56</v>
      </c>
      <c r="AX4" s="8">
        <v>72</v>
      </c>
      <c r="AY4" s="8">
        <v>74</v>
      </c>
      <c r="AZ4" s="8">
        <v>75</v>
      </c>
      <c r="BA4" s="8">
        <v>78</v>
      </c>
      <c r="BB4" s="8">
        <v>73</v>
      </c>
    </row>
    <row r="5" spans="1:54" x14ac:dyDescent="0.2">
      <c r="A5" s="3" t="s">
        <v>57</v>
      </c>
      <c r="B5" s="7">
        <v>24</v>
      </c>
      <c r="C5" s="7">
        <v>22</v>
      </c>
      <c r="D5" s="7">
        <v>19</v>
      </c>
      <c r="E5" s="7">
        <v>23</v>
      </c>
      <c r="F5" s="7">
        <v>21</v>
      </c>
      <c r="G5" s="7">
        <v>23</v>
      </c>
      <c r="H5" s="7">
        <v>25</v>
      </c>
      <c r="I5" s="7">
        <v>23</v>
      </c>
      <c r="J5" s="7">
        <v>26</v>
      </c>
      <c r="K5" s="7">
        <v>22</v>
      </c>
      <c r="L5" s="7">
        <v>22</v>
      </c>
      <c r="M5" s="7">
        <v>26</v>
      </c>
      <c r="N5" s="7">
        <v>25</v>
      </c>
      <c r="O5" s="7">
        <v>24</v>
      </c>
      <c r="P5" s="7">
        <v>23</v>
      </c>
      <c r="Q5" s="7">
        <v>22</v>
      </c>
      <c r="R5" s="7">
        <v>25</v>
      </c>
      <c r="S5" s="7">
        <v>27</v>
      </c>
      <c r="T5" s="7">
        <v>31</v>
      </c>
      <c r="U5" s="7">
        <v>28</v>
      </c>
      <c r="V5" s="7">
        <v>30</v>
      </c>
      <c r="W5" s="7">
        <v>30</v>
      </c>
      <c r="X5" s="7">
        <v>28</v>
      </c>
      <c r="Y5" s="7">
        <v>29</v>
      </c>
      <c r="Z5" s="7">
        <v>29</v>
      </c>
      <c r="AA5" s="7">
        <v>26</v>
      </c>
      <c r="AB5" s="7">
        <v>27</v>
      </c>
      <c r="AC5" s="7">
        <v>25</v>
      </c>
      <c r="AD5" s="7">
        <v>41</v>
      </c>
      <c r="AE5" s="7">
        <v>31</v>
      </c>
      <c r="AF5" s="7">
        <v>30</v>
      </c>
      <c r="AG5" s="7">
        <v>26</v>
      </c>
      <c r="AH5" s="7">
        <v>25</v>
      </c>
      <c r="AI5" s="7">
        <v>22</v>
      </c>
      <c r="AJ5" s="7">
        <v>22</v>
      </c>
      <c r="AK5" s="7">
        <v>21</v>
      </c>
      <c r="AL5" s="7">
        <v>23</v>
      </c>
      <c r="AM5" s="7">
        <v>22</v>
      </c>
      <c r="AN5" s="7">
        <v>22</v>
      </c>
      <c r="AO5" s="7">
        <v>20</v>
      </c>
      <c r="AP5" s="7">
        <v>22</v>
      </c>
      <c r="AQ5" s="7">
        <v>28</v>
      </c>
      <c r="AR5" s="7">
        <v>24</v>
      </c>
      <c r="AS5" s="7">
        <v>22</v>
      </c>
      <c r="AT5" s="7">
        <v>21</v>
      </c>
      <c r="AU5" s="7">
        <v>21</v>
      </c>
      <c r="AV5" s="7">
        <v>20</v>
      </c>
      <c r="AW5" s="7">
        <v>23</v>
      </c>
      <c r="AX5" s="7">
        <v>25</v>
      </c>
      <c r="AY5" s="7">
        <v>22</v>
      </c>
      <c r="AZ5" s="7">
        <v>21</v>
      </c>
      <c r="BA5" s="7">
        <v>22</v>
      </c>
      <c r="BB5" s="7">
        <v>20</v>
      </c>
    </row>
    <row r="6" spans="1:54" x14ac:dyDescent="0.2">
      <c r="A6" s="2" t="s">
        <v>58</v>
      </c>
      <c r="B6" s="8">
        <v>19</v>
      </c>
      <c r="C6" s="8">
        <v>42</v>
      </c>
      <c r="D6" s="8">
        <v>22</v>
      </c>
      <c r="E6" s="8">
        <v>19</v>
      </c>
      <c r="F6" s="8">
        <v>18</v>
      </c>
      <c r="G6" s="8">
        <v>19</v>
      </c>
      <c r="H6" s="8">
        <v>20</v>
      </c>
      <c r="I6" s="8">
        <v>19</v>
      </c>
      <c r="J6" s="8">
        <v>18</v>
      </c>
      <c r="K6" s="8">
        <v>18</v>
      </c>
      <c r="L6" s="8">
        <v>18</v>
      </c>
      <c r="M6" s="8">
        <v>19</v>
      </c>
      <c r="N6" s="8">
        <v>19</v>
      </c>
      <c r="O6" s="8">
        <v>19</v>
      </c>
      <c r="P6" s="8">
        <v>19</v>
      </c>
      <c r="Q6" s="8">
        <v>17</v>
      </c>
      <c r="R6" s="8">
        <v>18</v>
      </c>
      <c r="S6" s="8">
        <v>18</v>
      </c>
      <c r="T6" s="8">
        <v>19</v>
      </c>
      <c r="U6" s="8">
        <v>18</v>
      </c>
      <c r="V6" s="8">
        <v>22</v>
      </c>
      <c r="W6" s="8">
        <v>20</v>
      </c>
      <c r="X6" s="8">
        <v>17</v>
      </c>
      <c r="Y6" s="8">
        <v>17</v>
      </c>
      <c r="Z6" s="8">
        <v>18</v>
      </c>
      <c r="AA6" s="8">
        <v>18</v>
      </c>
      <c r="AB6" s="8">
        <v>18</v>
      </c>
      <c r="AC6" s="8">
        <v>18</v>
      </c>
      <c r="AD6" s="8">
        <v>20</v>
      </c>
      <c r="AE6" s="8">
        <v>19</v>
      </c>
      <c r="AF6" s="8">
        <v>19</v>
      </c>
      <c r="AG6" s="8">
        <v>34</v>
      </c>
      <c r="AH6" s="8">
        <v>19</v>
      </c>
      <c r="AI6" s="8">
        <v>18</v>
      </c>
      <c r="AJ6" s="8">
        <v>18</v>
      </c>
      <c r="AK6" s="8">
        <v>21</v>
      </c>
      <c r="AL6" s="8">
        <v>18</v>
      </c>
      <c r="AM6" s="8">
        <v>18</v>
      </c>
      <c r="AN6" s="8">
        <v>21</v>
      </c>
      <c r="AO6" s="8">
        <v>18</v>
      </c>
      <c r="AP6" s="8">
        <v>19</v>
      </c>
      <c r="AQ6" s="8">
        <v>19</v>
      </c>
      <c r="AR6" s="8">
        <v>20</v>
      </c>
      <c r="AS6" s="8">
        <v>18</v>
      </c>
      <c r="AT6" s="8">
        <v>19</v>
      </c>
      <c r="AU6" s="8">
        <v>22</v>
      </c>
      <c r="AV6" s="8">
        <v>18</v>
      </c>
      <c r="AW6" s="8">
        <v>19</v>
      </c>
      <c r="AX6" s="8">
        <v>20</v>
      </c>
      <c r="AY6" s="8">
        <v>20</v>
      </c>
      <c r="AZ6" s="8">
        <v>19</v>
      </c>
      <c r="BA6" s="8">
        <v>18</v>
      </c>
      <c r="BB6" s="8">
        <v>25</v>
      </c>
    </row>
    <row r="7" spans="1:54" x14ac:dyDescent="0.2">
      <c r="A7" s="10"/>
      <c r="B7" s="8"/>
      <c r="C7" s="7"/>
      <c r="D7" s="8"/>
    </row>
    <row r="8" spans="1:54" x14ac:dyDescent="0.2">
      <c r="A8" s="10" t="s">
        <v>61</v>
      </c>
      <c r="B8" s="8">
        <f>CORREL(B6:M6,B4:M4)</f>
        <v>0.6326691863895334</v>
      </c>
      <c r="C8" s="7"/>
      <c r="D8" s="8" t="s">
        <v>62</v>
      </c>
      <c r="E8">
        <f>CORREL(B5:M5,B6:M6)</f>
        <v>-0.21123070884037842</v>
      </c>
      <c r="G8" t="s">
        <v>67</v>
      </c>
      <c r="H8">
        <f>AVERAGE(B4:M4)</f>
        <v>70.25</v>
      </c>
      <c r="J8" t="s">
        <v>71</v>
      </c>
      <c r="K8">
        <f>AVERAGE(B5:M5)</f>
        <v>23</v>
      </c>
    </row>
    <row r="9" spans="1:54" x14ac:dyDescent="0.2">
      <c r="A9" s="10" t="s">
        <v>63</v>
      </c>
      <c r="B9" s="8">
        <f>CORREL(N4:Z4,N6:Z6)</f>
        <v>-0.19884986694710483</v>
      </c>
      <c r="C9" s="7"/>
      <c r="D9" s="8" t="s">
        <v>64</v>
      </c>
      <c r="E9">
        <f>CORREL(N5:Z5,N6:Z6)</f>
        <v>0.30814801739309577</v>
      </c>
      <c r="G9" t="s">
        <v>68</v>
      </c>
      <c r="H9">
        <f>AVERAGE(N4:Z4)</f>
        <v>76.769230769230774</v>
      </c>
      <c r="J9" t="s">
        <v>72</v>
      </c>
      <c r="K9">
        <f>AVERAGE(N5:Z5)</f>
        <v>27</v>
      </c>
    </row>
    <row r="10" spans="1:54" x14ac:dyDescent="0.2">
      <c r="A10" s="10" t="s">
        <v>65</v>
      </c>
      <c r="B10" s="8">
        <f>CORREL(AA4:AN4,AA6:AN6)</f>
        <v>7.4023404823051253E-2</v>
      </c>
      <c r="C10" s="7"/>
      <c r="D10" s="8" t="s">
        <v>64</v>
      </c>
      <c r="E10">
        <f>CORREL(AA6:AN6,AA5:AN5)</f>
        <v>4.4607694222079899E-2</v>
      </c>
      <c r="G10" t="s">
        <v>69</v>
      </c>
      <c r="H10">
        <f>AVERAGE(AA4:AN4)</f>
        <v>70.714285714285708</v>
      </c>
      <c r="J10" t="s">
        <v>72</v>
      </c>
      <c r="K10">
        <f>AVERAGE(AA5:AN5)</f>
        <v>25.928571428571427</v>
      </c>
    </row>
    <row r="11" spans="1:54" x14ac:dyDescent="0.2">
      <c r="A11" s="10" t="s">
        <v>66</v>
      </c>
      <c r="B11" s="8">
        <f>CORREL(AO4:BB4,AO6:BB6)</f>
        <v>0.23394813913615528</v>
      </c>
      <c r="C11" s="7"/>
      <c r="D11" s="8" t="s">
        <v>64</v>
      </c>
      <c r="E11">
        <f>CORREL(AO5:BB5,AO6:BB6)</f>
        <v>-0.13962954419394971</v>
      </c>
      <c r="G11" t="s">
        <v>70</v>
      </c>
      <c r="H11">
        <f>AVERAGE(AO4:BB4)</f>
        <v>66.285714285714292</v>
      </c>
      <c r="J11" t="s">
        <v>72</v>
      </c>
      <c r="K11">
        <f>AVERAGE(AO5:BB5)</f>
        <v>22.214285714285715</v>
      </c>
    </row>
    <row r="12" spans="1:54" x14ac:dyDescent="0.2">
      <c r="A12" s="10"/>
      <c r="B12" s="8"/>
      <c r="C12" s="7"/>
      <c r="D12" s="8"/>
    </row>
    <row r="13" spans="1:54" x14ac:dyDescent="0.2">
      <c r="A13" s="10"/>
      <c r="B13" s="8"/>
      <c r="C13" s="7"/>
      <c r="D13" s="8"/>
      <c r="G13" t="e">
        <f>VLOOKUP('quarterly correlation'!B4, 'by search term'!B:C,3, 71)</f>
        <v>#REF!</v>
      </c>
    </row>
    <row r="14" spans="1:54" x14ac:dyDescent="0.2">
      <c r="A14" s="10"/>
      <c r="B14" s="8"/>
      <c r="C14" s="7"/>
      <c r="D14" s="8"/>
    </row>
    <row r="15" spans="1:54" x14ac:dyDescent="0.2">
      <c r="A15" s="10"/>
      <c r="B15" s="8"/>
      <c r="C15" s="7"/>
      <c r="D15" s="8"/>
    </row>
    <row r="16" spans="1:54" x14ac:dyDescent="0.2">
      <c r="A16" s="10"/>
      <c r="B16" s="8"/>
      <c r="C16" s="7"/>
      <c r="D16" s="8"/>
    </row>
    <row r="17" spans="1:4" x14ac:dyDescent="0.2">
      <c r="A17" s="10"/>
      <c r="B17" s="8"/>
      <c r="C17" s="7"/>
      <c r="D17" s="8"/>
    </row>
    <row r="18" spans="1:4" x14ac:dyDescent="0.2">
      <c r="A18" s="10"/>
      <c r="B18" s="8"/>
      <c r="C18" s="7"/>
      <c r="D18" s="8"/>
    </row>
    <row r="19" spans="1:4" x14ac:dyDescent="0.2">
      <c r="A19" s="10"/>
      <c r="B19" s="8"/>
      <c r="C19" s="7"/>
      <c r="D19" s="8"/>
    </row>
    <row r="20" spans="1:4" x14ac:dyDescent="0.2">
      <c r="A20" s="10"/>
      <c r="B20" s="8"/>
      <c r="C20" s="7"/>
      <c r="D20" s="8"/>
    </row>
    <row r="21" spans="1:4" x14ac:dyDescent="0.2">
      <c r="A21" s="10"/>
      <c r="B21" s="8"/>
      <c r="C21" s="7"/>
      <c r="D21" s="8"/>
    </row>
    <row r="22" spans="1:4" x14ac:dyDescent="0.2">
      <c r="A22" s="10"/>
      <c r="B22" s="8"/>
      <c r="C22" s="7"/>
      <c r="D22" s="8"/>
    </row>
    <row r="23" spans="1:4" x14ac:dyDescent="0.2">
      <c r="A23" s="10"/>
      <c r="B23" s="8"/>
      <c r="C23" s="7"/>
      <c r="D23" s="8"/>
    </row>
    <row r="24" spans="1:4" x14ac:dyDescent="0.2">
      <c r="A24" s="10"/>
      <c r="B24" s="8"/>
      <c r="C24" s="7"/>
      <c r="D24" s="8"/>
    </row>
    <row r="25" spans="1:4" x14ac:dyDescent="0.2">
      <c r="A25" s="10"/>
      <c r="B25" s="8"/>
      <c r="C25" s="7"/>
      <c r="D25" s="8"/>
    </row>
    <row r="26" spans="1:4" x14ac:dyDescent="0.2">
      <c r="A26" s="10"/>
      <c r="B26" s="8"/>
      <c r="C26" s="7"/>
      <c r="D26" s="8"/>
    </row>
    <row r="27" spans="1:4" x14ac:dyDescent="0.2">
      <c r="A27" s="10"/>
      <c r="B27" s="8"/>
      <c r="C27" s="7"/>
      <c r="D27" s="8"/>
    </row>
    <row r="28" spans="1:4" x14ac:dyDescent="0.2">
      <c r="A28" s="10"/>
      <c r="B28" s="8"/>
      <c r="C28" s="7"/>
      <c r="D28" s="8"/>
    </row>
    <row r="29" spans="1:4" x14ac:dyDescent="0.2">
      <c r="A29" s="10"/>
      <c r="B29" s="8"/>
      <c r="C29" s="7"/>
      <c r="D29" s="8"/>
    </row>
    <row r="30" spans="1:4" x14ac:dyDescent="0.2">
      <c r="A30" s="10"/>
      <c r="B30" s="8"/>
      <c r="C30" s="7"/>
      <c r="D30" s="8"/>
    </row>
    <row r="31" spans="1:4" x14ac:dyDescent="0.2">
      <c r="A31" s="10"/>
      <c r="B31" s="8"/>
      <c r="C31" s="7"/>
      <c r="D31" s="8"/>
    </row>
    <row r="32" spans="1:4" x14ac:dyDescent="0.2">
      <c r="A32" s="10"/>
      <c r="B32" s="8"/>
      <c r="C32" s="7"/>
      <c r="D32" s="8"/>
    </row>
    <row r="33" spans="1:4" x14ac:dyDescent="0.2">
      <c r="A33" s="10"/>
      <c r="B33" s="8"/>
      <c r="C33" s="7"/>
      <c r="D33" s="8"/>
    </row>
    <row r="34" spans="1:4" x14ac:dyDescent="0.2">
      <c r="A34" s="10"/>
      <c r="B34" s="8"/>
      <c r="C34" s="7"/>
      <c r="D34" s="8"/>
    </row>
    <row r="35" spans="1:4" x14ac:dyDescent="0.2">
      <c r="A35" s="10"/>
      <c r="B35" s="8"/>
      <c r="C35" s="7"/>
      <c r="D35" s="8"/>
    </row>
    <row r="36" spans="1:4" x14ac:dyDescent="0.2">
      <c r="A36" s="10"/>
      <c r="B36" s="8"/>
      <c r="C36" s="7"/>
      <c r="D36" s="8"/>
    </row>
    <row r="37" spans="1:4" x14ac:dyDescent="0.2">
      <c r="A37" s="10"/>
      <c r="B37" s="8"/>
      <c r="C37" s="7"/>
      <c r="D37" s="8"/>
    </row>
    <row r="38" spans="1:4" x14ac:dyDescent="0.2">
      <c r="A38" s="10"/>
      <c r="B38" s="8"/>
      <c r="C38" s="7"/>
      <c r="D38" s="8"/>
    </row>
    <row r="39" spans="1:4" x14ac:dyDescent="0.2">
      <c r="A39" s="10"/>
      <c r="B39" s="8"/>
      <c r="C39" s="7"/>
      <c r="D39" s="8"/>
    </row>
    <row r="40" spans="1:4" x14ac:dyDescent="0.2">
      <c r="A40" s="10"/>
      <c r="B40" s="8"/>
      <c r="C40" s="7"/>
      <c r="D40" s="8"/>
    </row>
    <row r="41" spans="1:4" x14ac:dyDescent="0.2">
      <c r="A41" s="10"/>
      <c r="B41" s="8"/>
      <c r="C41" s="7"/>
      <c r="D41" s="8"/>
    </row>
    <row r="42" spans="1:4" x14ac:dyDescent="0.2">
      <c r="A42" s="10"/>
      <c r="B42" s="8"/>
      <c r="C42" s="7"/>
      <c r="D42" s="8"/>
    </row>
    <row r="43" spans="1:4" x14ac:dyDescent="0.2">
      <c r="A43" s="10"/>
      <c r="B43" s="8"/>
      <c r="C43" s="7"/>
      <c r="D43" s="8"/>
    </row>
    <row r="44" spans="1:4" x14ac:dyDescent="0.2">
      <c r="A44" s="10"/>
      <c r="B44" s="8"/>
      <c r="C44" s="7"/>
      <c r="D44" s="8"/>
    </row>
    <row r="45" spans="1:4" x14ac:dyDescent="0.2">
      <c r="A45" s="10"/>
      <c r="B45" s="8"/>
      <c r="C45" s="7"/>
      <c r="D45" s="8"/>
    </row>
    <row r="46" spans="1:4" x14ac:dyDescent="0.2">
      <c r="A46" s="10"/>
      <c r="B46" s="8"/>
      <c r="C46" s="7"/>
      <c r="D46" s="8"/>
    </row>
    <row r="47" spans="1:4" x14ac:dyDescent="0.2">
      <c r="A47" s="10"/>
      <c r="B47" s="8"/>
      <c r="C47" s="7"/>
      <c r="D47" s="8"/>
    </row>
    <row r="48" spans="1:4" x14ac:dyDescent="0.2">
      <c r="A48" s="10"/>
      <c r="B48" s="8"/>
      <c r="C48" s="7"/>
      <c r="D48" s="8"/>
    </row>
    <row r="49" spans="1:4" x14ac:dyDescent="0.2">
      <c r="A49" s="10"/>
      <c r="B49" s="8"/>
      <c r="C49" s="7"/>
      <c r="D49" s="8"/>
    </row>
    <row r="50" spans="1:4" x14ac:dyDescent="0.2">
      <c r="A50" s="10"/>
      <c r="B50" s="8"/>
      <c r="C50" s="7"/>
      <c r="D50" s="8"/>
    </row>
    <row r="51" spans="1:4" x14ac:dyDescent="0.2">
      <c r="A51" s="10"/>
      <c r="B51" s="8"/>
      <c r="C51" s="7"/>
      <c r="D51" s="8"/>
    </row>
    <row r="52" spans="1:4" x14ac:dyDescent="0.2">
      <c r="A52" s="10"/>
      <c r="B52" s="8"/>
      <c r="C52" s="7"/>
      <c r="D52" s="8"/>
    </row>
    <row r="53" spans="1:4" x14ac:dyDescent="0.2">
      <c r="A53" s="10"/>
      <c r="B53" s="8"/>
      <c r="C53" s="7"/>
      <c r="D53" s="8"/>
    </row>
    <row r="54" spans="1:4" x14ac:dyDescent="0.2">
      <c r="A54" s="10"/>
      <c r="B54" s="8"/>
      <c r="C54" s="7"/>
      <c r="D54" s="8"/>
    </row>
  </sheetData>
  <mergeCells count="4">
    <mergeCell ref="B1:M1"/>
    <mergeCell ref="N1:Z1"/>
    <mergeCell ref="AA1:AN1"/>
    <mergeCell ref="AO1:B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quarter</vt:lpstr>
      <vt:lpstr>quarterly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2026-04-13T03:28:08Z</dcterms:created>
  <dcterms:modified xsi:type="dcterms:W3CDTF">2026-04-13T04:30:50Z</dcterms:modified>
</cp:coreProperties>
</file>