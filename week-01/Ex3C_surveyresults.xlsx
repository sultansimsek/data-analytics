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sultansimsek/Documents/DataAnalytics/week-01/"/>
    </mc:Choice>
  </mc:AlternateContent>
  <xr:revisionPtr revIDLastSave="0" documentId="13_ncr:1_{A4EBBD84-AC1D-104B-9546-8A89C34CD185}" xr6:coauthVersionLast="47" xr6:coauthVersionMax="47" xr10:uidLastSave="{00000000-0000-0000-0000-000000000000}"/>
  <bookViews>
    <workbookView xWindow="17320" yWindow="760" windowWidth="12920" windowHeight="16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<sst xmlns="http://schemas.openxmlformats.org/spreadsheetml/2006/main" count="194" uniqueCount="84">
  <si>
    <t>Id</t>
  </si>
  <si>
    <t>Start time</t>
  </si>
  <si>
    <t>Completion time</t>
  </si>
  <si>
    <t>Email</t>
  </si>
  <si>
    <t>Name</t>
  </si>
  <si>
    <t>What is your gender?</t>
  </si>
  <si>
    <t>How old are you?</t>
  </si>
  <si>
    <t>How many people are there in your household?</t>
  </si>
  <si>
    <t>What is your household income?</t>
  </si>
  <si>
    <t>How often do you visit Starbucks?</t>
  </si>
  <si>
    <t>Do you share one Rewards account with other people?</t>
  </si>
  <si>
    <t>If yes, how many people are in the account?</t>
  </si>
  <si>
    <t>How was your latest Starbucks experience?</t>
  </si>
  <si>
    <t>What do  you like the most about new Rewards program? Put in order from the most favorite to least.</t>
  </si>
  <si>
    <t>ktesema@my.yearupunited.org</t>
  </si>
  <si>
    <t>kidus tesema</t>
  </si>
  <si>
    <t>Man</t>
  </si>
  <si>
    <t>18-24</t>
  </si>
  <si>
    <t>3 - 5</t>
  </si>
  <si>
    <t>$ 30,000 - $ 50,000</t>
  </si>
  <si>
    <t>Weekly</t>
  </si>
  <si>
    <t>Yes</t>
  </si>
  <si>
    <t>3</t>
  </si>
  <si>
    <t>Getting extra points for Gold and Reserve Members;Extended star expiration dates.;Able to use birthday rewards for up to 30 days.;</t>
  </si>
  <si>
    <t>msaeday@my.yearupunited.org</t>
  </si>
  <si>
    <t>mina saeday</t>
  </si>
  <si>
    <t>Woman</t>
  </si>
  <si>
    <t>&lt; $ 30,000</t>
  </si>
  <si>
    <t>Daily</t>
  </si>
  <si>
    <t>No</t>
  </si>
  <si>
    <t>Getting extra points for Gold and Reserve Members;Able to use birthday rewards for up to 30 days.;Extended star expiration dates.;</t>
  </si>
  <si>
    <t>cugur@my.yearupunited.org</t>
  </si>
  <si>
    <t>ceyhun ugur</t>
  </si>
  <si>
    <t>25-34</t>
  </si>
  <si>
    <t>$ 50,000 - $ 80,000</t>
  </si>
  <si>
    <t>Extended star expiration dates.;Able to use birthday rewards for up to 30 days.;Getting extra points for Gold and Reserve Members;</t>
  </si>
  <si>
    <t>jalmarazflores@my.yearupunited.org</t>
  </si>
  <si>
    <t>julissa almarazflores</t>
  </si>
  <si>
    <t>Never</t>
  </si>
  <si>
    <t>Able to use birthday rewards for up to 30 days.;Getting extra points for Gold and Reserve Members;Extended star expiration dates.;</t>
  </si>
  <si>
    <t>ccelik@my.yearupunited.org</t>
  </si>
  <si>
    <t>cagla celik</t>
  </si>
  <si>
    <t>2</t>
  </si>
  <si>
    <t>kmarsh1@my.yearupunited.org</t>
  </si>
  <si>
    <t>kiersten marsh</t>
  </si>
  <si>
    <t>&gt; $ 100,000</t>
  </si>
  <si>
    <t>Extended star expiration dates.;Getting extra points for Gold and Reserve Members;Able to use birthday rewards for up to 30 days.;</t>
  </si>
  <si>
    <t>tarista@my.yearupunited.org</t>
  </si>
  <si>
    <t>tracy arista</t>
  </si>
  <si>
    <t>&gt;5</t>
  </si>
  <si>
    <t>Monthly</t>
  </si>
  <si>
    <t>Able to use birthday rewards for up to 30 days.;Extended star expiration dates.;Getting extra points for Gold and Reserve Members;</t>
  </si>
  <si>
    <t>plopez@my.yearupunited.org</t>
  </si>
  <si>
    <t>paul lopez</t>
  </si>
  <si>
    <t>N/A</t>
  </si>
  <si>
    <t>okaraer@my.yearupunited.org</t>
  </si>
  <si>
    <t>onur karaer</t>
  </si>
  <si>
    <t>$ 80,000- $ 100,000</t>
  </si>
  <si>
    <t>asago@my.yearupunited.org</t>
  </si>
  <si>
    <t>antwaushea sago</t>
  </si>
  <si>
    <t>edebero@my.yearupunited.org</t>
  </si>
  <si>
    <t>eyerusalem debero</t>
  </si>
  <si>
    <t>lpham1@my.yearupunited.org</t>
  </si>
  <si>
    <t>longley pham</t>
  </si>
  <si>
    <t>Seasonal</t>
  </si>
  <si>
    <t>pmartinez@my.yearupunited.org</t>
  </si>
  <si>
    <t>paola martinez</t>
  </si>
  <si>
    <t>mruiz3@my.yearupunited.org</t>
  </si>
  <si>
    <t>maritza ruiz</t>
  </si>
  <si>
    <t>jnavarroservin@my.yearupunited.org</t>
  </si>
  <si>
    <t>jessica navarroservin</t>
  </si>
  <si>
    <t>gmutize@my.yearupunited.org</t>
  </si>
  <si>
    <t>godknows mutize</t>
  </si>
  <si>
    <t>rmengesha@my.yearupunited.org</t>
  </si>
  <si>
    <t>two</t>
  </si>
  <si>
    <t>aosorio@my.yearupunited.org</t>
  </si>
  <si>
    <t>angel osorio</t>
  </si>
  <si>
    <t>A million</t>
  </si>
  <si>
    <t>Multiple times a day</t>
  </si>
  <si>
    <t>5</t>
  </si>
  <si>
    <t>sbowens@my.yearupunited.org</t>
  </si>
  <si>
    <t>shaquan bowens</t>
  </si>
  <si>
    <t>4</t>
  </si>
  <si>
    <t>Completion time2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</si>
</sst>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6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0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mm/dd/yy\ h:mm"/>
    </dxf>
    <dxf>
      <numFmt numFmtId="166" formatCode="mm/dd/yy\ h:mm"/>
    </dxf>
    <dxf>
      <numFmt numFmtId="166" formatCode="mm/dd/yy\ h:mm"/>
    </dxf>
    <dxf>
      <numFmt numFmtId="0" formatCode="General"/>
    </dxf>
    <dxf>
      <numFmt numFmtId="166" formatCode="mm/dd/yy\ h:mm"/>
    </dxf>
    <dxf>
      <numFmt numFmtId="166" formatCode="mm/dd/yy\ h:mm"/>
    </dxf>
    <dxf>
      <numFmt numFmtId="166" formatCode="mm/dd/yy\ h:mm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1" totalsRowCount="1">
  <autoFilter ref="A1:O20" xr:uid="{00000000-0009-0000-0100-000001000000}"/>
  <tableColumns count="15">
    <tableColumn id="1" xr3:uid="{00000000-0010-0000-0000-000001000000}" name="Id" dataDxfId="29" totalsRow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7" totalsRowDxfId="1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6" totalsRowDxfId="12">
      <extLst>
        <ext xmlns:xlmsforms="http://schemas.microsoft.com/office/spreadsheetml/2023/msForms" uri="{FCC71383-01E1-4257-9335-427F07BE8D7F}">
          <xlmsforms:question id="submitDate"/>
        </ext>
      </extLst>
    </tableColumn>
    <tableColumn id="16" xr3:uid="{D3CEFA1D-C9C2-1741-AC12-8227914BEED6}" name="Completion time2" totalsRowFunction="custom" dataDxfId="15" totalsRowDxfId="11">
      <calculatedColumnFormula>OfficeForms.Table[[#This Row],[Completion time]]-OfficeForms.Table[[#This Row],[Start time]]</calculatedColumnFormula>
      <totalsRowFormula>AVERAGE(OfficeForms.Table[Completion time2])</totalsRowFormula>
    </tableColumn>
    <tableColumn id="4" xr3:uid="{00000000-0010-0000-0000-000004000000}" name="Email" dataDxfId="28" totalsRow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7" totalsRow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is your gender?" dataDxfId="26" totalsRowDxfId="8">
      <extLst>
        <ext xmlns:xlmsforms="http://schemas.microsoft.com/office/spreadsheetml/2023/msForms" uri="{FCC71383-01E1-4257-9335-427F07BE8D7F}">
          <xlmsforms:question id="r438eda8030e9454f9d848eeeba29e64c"/>
        </ext>
      </extLst>
    </tableColumn>
    <tableColumn id="7" xr3:uid="{00000000-0010-0000-0000-000007000000}" name="How old are you?" dataDxfId="25" totalsRowDxfId="7">
      <extLst>
        <ext xmlns:xlmsforms="http://schemas.microsoft.com/office/spreadsheetml/2023/msForms" uri="{FCC71383-01E1-4257-9335-427F07BE8D7F}">
          <xlmsforms:question id="r04884e012b4b4c1e88f406c40e989af0"/>
        </ext>
      </extLst>
    </tableColumn>
    <tableColumn id="8" xr3:uid="{00000000-0010-0000-0000-000008000000}" name="How many people are there in your household?" dataDxfId="24" totalsRowDxfId="6">
      <extLst>
        <ext xmlns:xlmsforms="http://schemas.microsoft.com/office/spreadsheetml/2023/msForms" uri="{FCC71383-01E1-4257-9335-427F07BE8D7F}">
          <xlmsforms:question id="r66fe8ee47ca94e22adc6bac1cc86b7a2"/>
        </ext>
      </extLst>
    </tableColumn>
    <tableColumn id="9" xr3:uid="{00000000-0010-0000-0000-000009000000}" name="What is your household income?" dataDxfId="23" totalsRowDxfId="5">
      <extLst>
        <ext xmlns:xlmsforms="http://schemas.microsoft.com/office/spreadsheetml/2023/msForms" uri="{FCC71383-01E1-4257-9335-427F07BE8D7F}">
          <xlmsforms:question id="rb4489ce51feb42b5930673ffd517966b"/>
        </ext>
      </extLst>
    </tableColumn>
    <tableColumn id="10" xr3:uid="{00000000-0010-0000-0000-00000A000000}" name="How often do you visit Starbucks?" dataDxfId="22" totalsRowDxfId="4">
      <extLst>
        <ext xmlns:xlmsforms="http://schemas.microsoft.com/office/spreadsheetml/2023/msForms" uri="{FCC71383-01E1-4257-9335-427F07BE8D7F}">
          <xlmsforms:question id="rd5618edc6f6d41b5955c6b56d4ecf1d9"/>
        </ext>
      </extLst>
    </tableColumn>
    <tableColumn id="11" xr3:uid="{00000000-0010-0000-0000-00000B000000}" name="Do you share one Rewards account with other people?" dataDxfId="21" totalsRowDxfId="3">
      <extLst>
        <ext xmlns:xlmsforms="http://schemas.microsoft.com/office/spreadsheetml/2023/msForms" uri="{FCC71383-01E1-4257-9335-427F07BE8D7F}">
          <xlmsforms:question id="ra633a84b59c841b2b0b823569f5ea759"/>
        </ext>
      </extLst>
    </tableColumn>
    <tableColumn id="12" xr3:uid="{00000000-0010-0000-0000-00000C000000}" name="If yes, how many people are in the account?" dataDxfId="20" totalsRowDxfId="2">
      <extLst>
        <ext xmlns:xlmsforms="http://schemas.microsoft.com/office/spreadsheetml/2023/msForms" uri="{FCC71383-01E1-4257-9335-427F07BE8D7F}">
          <xlmsforms:question id="r4af86653fa0b44358b48118db30f34ab"/>
        </ext>
      </extLst>
    </tableColumn>
    <tableColumn id="13" xr3:uid="{00000000-0010-0000-0000-00000D000000}" name="How was your latest Starbucks experience?" dataDxfId="19" totalsRowDxfId="1">
      <extLst>
        <ext xmlns:xlmsforms="http://schemas.microsoft.com/office/spreadsheetml/2023/msForms" uri="{FCC71383-01E1-4257-9335-427F07BE8D7F}">
          <xlmsforms:question id="r875f8daf397d4022a8b362f751b65a9f"/>
        </ext>
      </extLst>
    </tableColumn>
    <tableColumn id="14" xr3:uid="{00000000-0010-0000-0000-00000E000000}" name="What do  you like the most about new Rewards program? Put in order from the most favorite to least." dataDxfId="18" totalsRowDxfId="0">
      <extLst>
        <ext xmlns:xlmsforms="http://schemas.microsoft.com/office/spreadsheetml/2023/msForms" uri="{FCC71383-01E1-4257-9335-427F07BE8D7F}">
          <xlmsforms:question id="r3a6647e2b0f44bc48ef7b6546ce347f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m-S5dBBPxGrJfqXFLUMblUOEZSMElaVjhQUjJPOThIVTBWU0MyU0w2Ti4u" isFormConnected="1" maxResponseId="19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r438eda8030e9454f9d848eeeba29e64c</xlmsforms:syncedQuestionId>
        <xlmsforms:syncedQuestionId>r04884e012b4b4c1e88f406c40e989af0</xlmsforms:syncedQuestionId>
        <xlmsforms:syncedQuestionId>r66fe8ee47ca94e22adc6bac1cc86b7a2</xlmsforms:syncedQuestionId>
        <xlmsforms:syncedQuestionId>rb4489ce51feb42b5930673ffd517966b</xlmsforms:syncedQuestionId>
        <xlmsforms:syncedQuestionId>rd5618edc6f6d41b5955c6b56d4ecf1d9</xlmsforms:syncedQuestionId>
        <xlmsforms:syncedQuestionId>ra633a84b59c841b2b0b823569f5ea759</xlmsforms:syncedQuestionId>
        <xlmsforms:syncedQuestionId>r4af86653fa0b44358b48118db30f34ab</xlmsforms:syncedQuestionId>
        <xlmsforms:syncedQuestionId>r875f8daf397d4022a8b362f751b65a9f</xlmsforms:syncedQuestionId>
        <xlmsforms:syncedQuestionId>r3a6647e2b0f44bc48ef7b6546ce347f1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14" workbookViewId="0">
      <selection activeCell="C2" sqref="C2"/>
    </sheetView>
  </sheetViews>
  <sheetFormatPr baseColWidth="10" defaultColWidth="8.83203125" defaultRowHeight="15" x14ac:dyDescent="0.2"/>
  <cols>
    <col min="1" max="3" width="20" bestFit="1" customWidth="1"/>
    <col min="4" max="4" width="23" bestFit="1" customWidth="1"/>
    <col min="5" max="15" width="20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83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</v>
      </c>
      <c r="B2" s="2">
        <v>46121.574571759258</v>
      </c>
      <c r="C2" s="2">
        <v>46121.575057870374</v>
      </c>
      <c r="D2" s="2">
        <f>OfficeForms.Table[[#This Row],[Completion time]]-OfficeForms.Table[[#This Row],[Start time]]</f>
        <v>4.8611111560603604E-4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1" t="s">
        <v>22</v>
      </c>
      <c r="N2">
        <v>5</v>
      </c>
      <c r="O2" t="s">
        <v>23</v>
      </c>
    </row>
    <row r="3" spans="1:15" x14ac:dyDescent="0.2">
      <c r="A3">
        <v>2</v>
      </c>
      <c r="B3" s="2">
        <v>46121.574849537035</v>
      </c>
      <c r="C3" s="2">
        <v>46121.575162037036</v>
      </c>
      <c r="D3" s="2">
        <f>OfficeForms.Table[[#This Row],[Completion time]]-OfficeForms.Table[[#This Row],[Start time]]</f>
        <v>3.125000002910383E-4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27</v>
      </c>
      <c r="K3" t="s">
        <v>28</v>
      </c>
      <c r="L3" t="s">
        <v>29</v>
      </c>
      <c r="N3">
        <v>5</v>
      </c>
      <c r="O3" t="s">
        <v>30</v>
      </c>
    </row>
    <row r="4" spans="1:15" x14ac:dyDescent="0.2">
      <c r="A4">
        <v>3</v>
      </c>
      <c r="B4" s="2">
        <v>46121.574976851851</v>
      </c>
      <c r="C4" s="2">
        <v>46121.575474537036</v>
      </c>
      <c r="D4" s="2">
        <f>OfficeForms.Table[[#This Row],[Completion time]]-OfficeForms.Table[[#This Row],[Start time]]</f>
        <v>4.9768518510973081E-4</v>
      </c>
      <c r="E4" t="s">
        <v>31</v>
      </c>
      <c r="F4" t="s">
        <v>32</v>
      </c>
      <c r="G4" t="s">
        <v>16</v>
      </c>
      <c r="H4" t="s">
        <v>33</v>
      </c>
      <c r="I4" t="s">
        <v>18</v>
      </c>
      <c r="J4" t="s">
        <v>34</v>
      </c>
      <c r="K4" t="s">
        <v>20</v>
      </c>
      <c r="L4" t="s">
        <v>29</v>
      </c>
      <c r="N4">
        <v>4</v>
      </c>
      <c r="O4" t="s">
        <v>35</v>
      </c>
    </row>
    <row r="5" spans="1:15" x14ac:dyDescent="0.2">
      <c r="A5">
        <v>4</v>
      </c>
      <c r="B5" s="2">
        <v>46121.574652777781</v>
      </c>
      <c r="C5" s="2">
        <v>46121.576203703706</v>
      </c>
      <c r="D5" s="2">
        <f>OfficeForms.Table[[#This Row],[Completion time]]-OfficeForms.Table[[#This Row],[Start time]]</f>
        <v>1.5509259246755391E-3</v>
      </c>
      <c r="E5" t="s">
        <v>36</v>
      </c>
      <c r="F5" t="s">
        <v>37</v>
      </c>
      <c r="G5" t="s">
        <v>26</v>
      </c>
      <c r="H5" t="s">
        <v>33</v>
      </c>
      <c r="I5" t="s">
        <v>18</v>
      </c>
      <c r="J5" t="s">
        <v>34</v>
      </c>
      <c r="K5" t="s">
        <v>38</v>
      </c>
      <c r="L5" t="s">
        <v>29</v>
      </c>
      <c r="N5">
        <v>3</v>
      </c>
      <c r="O5" t="s">
        <v>39</v>
      </c>
    </row>
    <row r="6" spans="1:15" x14ac:dyDescent="0.2">
      <c r="A6">
        <v>5</v>
      </c>
      <c r="B6" s="2">
        <v>46121.576111111113</v>
      </c>
      <c r="C6" s="2">
        <v>46121.576747685183</v>
      </c>
      <c r="D6" s="2">
        <f>OfficeForms.Table[[#This Row],[Completion time]]-OfficeForms.Table[[#This Row],[Start time]]</f>
        <v>6.3657407008577138E-4</v>
      </c>
      <c r="E6" t="s">
        <v>40</v>
      </c>
      <c r="F6" t="s">
        <v>41</v>
      </c>
      <c r="G6" t="s">
        <v>26</v>
      </c>
      <c r="H6" t="s">
        <v>17</v>
      </c>
      <c r="I6" s="1" t="s">
        <v>42</v>
      </c>
      <c r="J6" t="s">
        <v>19</v>
      </c>
      <c r="K6" t="s">
        <v>28</v>
      </c>
      <c r="L6" t="s">
        <v>29</v>
      </c>
      <c r="N6">
        <v>4</v>
      </c>
      <c r="O6" t="s">
        <v>35</v>
      </c>
    </row>
    <row r="7" spans="1:15" x14ac:dyDescent="0.2">
      <c r="A7">
        <v>6</v>
      </c>
      <c r="B7" s="2">
        <v>46121.576412037037</v>
      </c>
      <c r="C7" s="2">
        <v>46121.578425925924</v>
      </c>
      <c r="D7" s="2">
        <f>OfficeForms.Table[[#This Row],[Completion time]]-OfficeForms.Table[[#This Row],[Start time]]</f>
        <v>2.0138888867222704E-3</v>
      </c>
      <c r="E7" t="s">
        <v>43</v>
      </c>
      <c r="F7" t="s">
        <v>44</v>
      </c>
      <c r="G7" t="s">
        <v>26</v>
      </c>
      <c r="H7" t="s">
        <v>17</v>
      </c>
      <c r="I7" t="s">
        <v>18</v>
      </c>
      <c r="J7" s="1" t="s">
        <v>45</v>
      </c>
      <c r="K7" t="s">
        <v>20</v>
      </c>
      <c r="L7" t="s">
        <v>29</v>
      </c>
      <c r="N7">
        <v>5</v>
      </c>
      <c r="O7" t="s">
        <v>46</v>
      </c>
    </row>
    <row r="8" spans="1:15" x14ac:dyDescent="0.2">
      <c r="A8">
        <v>7</v>
      </c>
      <c r="B8" s="2">
        <v>46121.577777777777</v>
      </c>
      <c r="C8" s="2">
        <v>46121.578611111108</v>
      </c>
      <c r="D8" s="2">
        <f>OfficeForms.Table[[#This Row],[Completion time]]-OfficeForms.Table[[#This Row],[Start time]]</f>
        <v>8.3333333168411627E-4</v>
      </c>
      <c r="E8" t="s">
        <v>47</v>
      </c>
      <c r="F8" t="s">
        <v>48</v>
      </c>
      <c r="G8" t="s">
        <v>26</v>
      </c>
      <c r="H8" t="s">
        <v>33</v>
      </c>
      <c r="I8" s="1" t="s">
        <v>49</v>
      </c>
      <c r="J8" t="s">
        <v>34</v>
      </c>
      <c r="K8" t="s">
        <v>50</v>
      </c>
      <c r="L8" t="s">
        <v>29</v>
      </c>
      <c r="N8">
        <v>3</v>
      </c>
      <c r="O8" t="s">
        <v>51</v>
      </c>
    </row>
    <row r="9" spans="1:15" x14ac:dyDescent="0.2">
      <c r="A9">
        <v>8</v>
      </c>
      <c r="B9" s="2">
        <v>46121.578599537039</v>
      </c>
      <c r="C9" s="2">
        <v>46121.579097222224</v>
      </c>
      <c r="D9" s="2">
        <f>OfficeForms.Table[[#This Row],[Completion time]]-OfficeForms.Table[[#This Row],[Start time]]</f>
        <v>4.9768518510973081E-4</v>
      </c>
      <c r="E9" t="s">
        <v>52</v>
      </c>
      <c r="F9" t="s">
        <v>53</v>
      </c>
      <c r="G9" t="s">
        <v>16</v>
      </c>
      <c r="H9" t="s">
        <v>17</v>
      </c>
      <c r="I9" t="s">
        <v>18</v>
      </c>
      <c r="J9" t="s">
        <v>34</v>
      </c>
      <c r="K9" t="s">
        <v>38</v>
      </c>
      <c r="L9" t="s">
        <v>29</v>
      </c>
      <c r="M9" t="s">
        <v>54</v>
      </c>
      <c r="N9">
        <v>3</v>
      </c>
      <c r="O9" t="s">
        <v>23</v>
      </c>
    </row>
    <row r="10" spans="1:15" x14ac:dyDescent="0.2">
      <c r="A10">
        <v>9</v>
      </c>
      <c r="B10" s="2">
        <v>46121.579652777778</v>
      </c>
      <c r="C10" s="2">
        <v>46121.580092592594</v>
      </c>
      <c r="D10" s="2">
        <f>OfficeForms.Table[[#This Row],[Completion time]]-OfficeForms.Table[[#This Row],[Start time]]</f>
        <v>4.398148157633841E-4</v>
      </c>
      <c r="E10" t="s">
        <v>55</v>
      </c>
      <c r="F10" t="s">
        <v>56</v>
      </c>
      <c r="G10" t="s">
        <v>16</v>
      </c>
      <c r="H10" t="s">
        <v>33</v>
      </c>
      <c r="I10" s="1" t="s">
        <v>42</v>
      </c>
      <c r="J10" t="s">
        <v>57</v>
      </c>
      <c r="K10" t="s">
        <v>20</v>
      </c>
      <c r="L10" t="s">
        <v>29</v>
      </c>
      <c r="N10">
        <v>4</v>
      </c>
      <c r="O10" t="s">
        <v>46</v>
      </c>
    </row>
    <row r="11" spans="1:15" x14ac:dyDescent="0.2">
      <c r="A11">
        <v>10</v>
      </c>
      <c r="B11" s="2">
        <v>46121.578634259262</v>
      </c>
      <c r="C11" s="2">
        <v>46121.580185185187</v>
      </c>
      <c r="D11" s="2">
        <f>OfficeForms.Table[[#This Row],[Completion time]]-OfficeForms.Table[[#This Row],[Start time]]</f>
        <v>1.5509259246755391E-3</v>
      </c>
      <c r="E11" t="s">
        <v>58</v>
      </c>
      <c r="F11" t="s">
        <v>59</v>
      </c>
      <c r="G11" t="s">
        <v>26</v>
      </c>
      <c r="H11" t="s">
        <v>33</v>
      </c>
      <c r="I11" s="1" t="s">
        <v>42</v>
      </c>
      <c r="J11" t="s">
        <v>34</v>
      </c>
      <c r="K11" t="s">
        <v>28</v>
      </c>
      <c r="L11" t="s">
        <v>21</v>
      </c>
      <c r="M11" s="1" t="s">
        <v>42</v>
      </c>
      <c r="N11">
        <v>4</v>
      </c>
      <c r="O11" t="s">
        <v>39</v>
      </c>
    </row>
    <row r="12" spans="1:15" x14ac:dyDescent="0.2">
      <c r="A12">
        <v>11</v>
      </c>
      <c r="B12" s="2">
        <v>46121.583009259259</v>
      </c>
      <c r="C12" s="2">
        <v>46121.583912037036</v>
      </c>
      <c r="D12" s="2">
        <f>OfficeForms.Table[[#This Row],[Completion time]]-OfficeForms.Table[[#This Row],[Start time]]</f>
        <v>9.0277777781011537E-4</v>
      </c>
      <c r="E12" t="s">
        <v>60</v>
      </c>
      <c r="F12" t="s">
        <v>61</v>
      </c>
      <c r="G12" t="s">
        <v>26</v>
      </c>
      <c r="H12" t="s">
        <v>17</v>
      </c>
      <c r="I12" t="s">
        <v>18</v>
      </c>
      <c r="J12" t="s">
        <v>27</v>
      </c>
      <c r="K12" t="s">
        <v>20</v>
      </c>
      <c r="L12" t="s">
        <v>21</v>
      </c>
      <c r="M12" t="s">
        <v>54</v>
      </c>
      <c r="N12">
        <v>5</v>
      </c>
      <c r="O12" t="s">
        <v>23</v>
      </c>
    </row>
    <row r="13" spans="1:15" x14ac:dyDescent="0.2">
      <c r="A13">
        <v>12</v>
      </c>
      <c r="B13" s="2">
        <v>46121.602418981478</v>
      </c>
      <c r="C13" s="2">
        <v>46121.611990740741</v>
      </c>
      <c r="D13" s="2">
        <f>OfficeForms.Table[[#This Row],[Completion time]]-OfficeForms.Table[[#This Row],[Start time]]</f>
        <v>9.5717592630535364E-3</v>
      </c>
      <c r="E13" t="s">
        <v>62</v>
      </c>
      <c r="F13" t="s">
        <v>63</v>
      </c>
      <c r="G13" t="s">
        <v>16</v>
      </c>
      <c r="H13" t="s">
        <v>33</v>
      </c>
      <c r="I13" s="1" t="s">
        <v>49</v>
      </c>
      <c r="J13" t="s">
        <v>27</v>
      </c>
      <c r="K13" t="s">
        <v>64</v>
      </c>
      <c r="L13" t="s">
        <v>29</v>
      </c>
      <c r="N13">
        <v>4</v>
      </c>
      <c r="O13" t="s">
        <v>39</v>
      </c>
    </row>
    <row r="14" spans="1:15" x14ac:dyDescent="0.2">
      <c r="A14">
        <v>13</v>
      </c>
      <c r="B14" s="2">
        <v>46121.688020833331</v>
      </c>
      <c r="C14" s="2">
        <v>46121.692233796297</v>
      </c>
      <c r="D14" s="2">
        <f>OfficeForms.Table[[#This Row],[Completion time]]-OfficeForms.Table[[#This Row],[Start time]]</f>
        <v>4.2129629655391909E-3</v>
      </c>
      <c r="E14" t="s">
        <v>65</v>
      </c>
      <c r="F14" t="s">
        <v>66</v>
      </c>
      <c r="G14" t="s">
        <v>26</v>
      </c>
      <c r="H14" t="s">
        <v>33</v>
      </c>
      <c r="I14" s="1" t="s">
        <v>42</v>
      </c>
      <c r="J14" t="s">
        <v>34</v>
      </c>
      <c r="K14" t="s">
        <v>50</v>
      </c>
      <c r="L14" t="s">
        <v>29</v>
      </c>
      <c r="N14">
        <v>5</v>
      </c>
      <c r="O14" t="s">
        <v>23</v>
      </c>
    </row>
    <row r="15" spans="1:15" x14ac:dyDescent="0.2">
      <c r="A15">
        <v>14</v>
      </c>
      <c r="B15" s="2">
        <v>46121.715810185182</v>
      </c>
      <c r="C15" s="2">
        <v>46121.718449074076</v>
      </c>
      <c r="D15" s="2">
        <f>OfficeForms.Table[[#This Row],[Completion time]]-OfficeForms.Table[[#This Row],[Start time]]</f>
        <v>2.6388888945803046E-3</v>
      </c>
      <c r="E15" t="s">
        <v>67</v>
      </c>
      <c r="F15" t="s">
        <v>68</v>
      </c>
      <c r="G15" t="s">
        <v>26</v>
      </c>
      <c r="H15" t="s">
        <v>33</v>
      </c>
      <c r="I15" s="1" t="s">
        <v>42</v>
      </c>
      <c r="J15" t="s">
        <v>19</v>
      </c>
      <c r="K15" t="s">
        <v>64</v>
      </c>
      <c r="L15" t="s">
        <v>29</v>
      </c>
      <c r="N15">
        <v>4</v>
      </c>
      <c r="O15" t="s">
        <v>39</v>
      </c>
    </row>
    <row r="16" spans="1:15" x14ac:dyDescent="0.2">
      <c r="A16">
        <v>15</v>
      </c>
      <c r="B16" s="2">
        <v>46121.74077546296</v>
      </c>
      <c r="C16" s="2">
        <v>46121.741805555554</v>
      </c>
      <c r="D16" s="2">
        <f>OfficeForms.Table[[#This Row],[Completion time]]-OfficeForms.Table[[#This Row],[Start time]]</f>
        <v>1.0300925932824612E-3</v>
      </c>
      <c r="E16" t="s">
        <v>69</v>
      </c>
      <c r="F16" t="s">
        <v>70</v>
      </c>
      <c r="G16" t="s">
        <v>26</v>
      </c>
      <c r="H16" t="s">
        <v>33</v>
      </c>
      <c r="I16" t="s">
        <v>18</v>
      </c>
      <c r="J16" t="s">
        <v>19</v>
      </c>
      <c r="K16" t="s">
        <v>28</v>
      </c>
      <c r="L16" t="s">
        <v>21</v>
      </c>
      <c r="M16" s="1" t="s">
        <v>22</v>
      </c>
      <c r="N16">
        <v>4</v>
      </c>
      <c r="O16" t="s">
        <v>30</v>
      </c>
    </row>
    <row r="17" spans="1:15" x14ac:dyDescent="0.2">
      <c r="A17">
        <v>16</v>
      </c>
      <c r="B17" s="2">
        <v>46122.004363425927</v>
      </c>
      <c r="C17" s="2">
        <v>46122.005277777775</v>
      </c>
      <c r="D17" s="2">
        <f>OfficeForms.Table[[#This Row],[Completion time]]-OfficeForms.Table[[#This Row],[Start time]]</f>
        <v>9.1435184731381014E-4</v>
      </c>
      <c r="E17" t="s">
        <v>71</v>
      </c>
      <c r="F17" t="s">
        <v>72</v>
      </c>
      <c r="G17" t="s">
        <v>16</v>
      </c>
      <c r="H17" t="s">
        <v>33</v>
      </c>
      <c r="I17" t="s">
        <v>18</v>
      </c>
      <c r="J17" t="s">
        <v>57</v>
      </c>
      <c r="K17" t="s">
        <v>28</v>
      </c>
      <c r="L17" t="s">
        <v>29</v>
      </c>
      <c r="N17">
        <v>5</v>
      </c>
      <c r="O17" t="s">
        <v>39</v>
      </c>
    </row>
    <row r="18" spans="1:15" x14ac:dyDescent="0.2">
      <c r="A18">
        <v>17</v>
      </c>
      <c r="B18" s="2">
        <v>46122.429791666669</v>
      </c>
      <c r="C18" s="2">
        <v>46122.430451388886</v>
      </c>
      <c r="D18" s="2">
        <f>OfficeForms.Table[[#This Row],[Completion time]]-OfficeForms.Table[[#This Row],[Start time]]</f>
        <v>6.5972221636911854E-4</v>
      </c>
      <c r="E18" t="s">
        <v>73</v>
      </c>
      <c r="F18" t="s">
        <v>73</v>
      </c>
      <c r="G18" t="s">
        <v>26</v>
      </c>
      <c r="H18" t="s">
        <v>17</v>
      </c>
      <c r="I18" s="1" t="s">
        <v>42</v>
      </c>
      <c r="J18" t="s">
        <v>34</v>
      </c>
      <c r="K18" t="s">
        <v>20</v>
      </c>
      <c r="L18" t="s">
        <v>21</v>
      </c>
      <c r="M18" t="s">
        <v>74</v>
      </c>
      <c r="N18">
        <v>4</v>
      </c>
      <c r="O18" t="s">
        <v>23</v>
      </c>
    </row>
    <row r="19" spans="1:15" x14ac:dyDescent="0.2">
      <c r="A19">
        <v>18</v>
      </c>
      <c r="B19" s="2">
        <v>46122.599409722221</v>
      </c>
      <c r="C19" s="2">
        <v>46122.599907407406</v>
      </c>
      <c r="D19" s="2">
        <f>OfficeForms.Table[[#This Row],[Completion time]]-OfficeForms.Table[[#This Row],[Start time]]</f>
        <v>4.9768518510973081E-4</v>
      </c>
      <c r="E19" t="s">
        <v>75</v>
      </c>
      <c r="F19" t="s">
        <v>76</v>
      </c>
      <c r="G19" t="s">
        <v>16</v>
      </c>
      <c r="H19" t="s">
        <v>17</v>
      </c>
      <c r="I19" s="1" t="s">
        <v>49</v>
      </c>
      <c r="J19" t="s">
        <v>77</v>
      </c>
      <c r="K19" t="s">
        <v>78</v>
      </c>
      <c r="L19" t="s">
        <v>21</v>
      </c>
      <c r="M19" s="1" t="s">
        <v>79</v>
      </c>
      <c r="N19">
        <v>5</v>
      </c>
      <c r="O19" t="s">
        <v>39</v>
      </c>
    </row>
    <row r="20" spans="1:15" x14ac:dyDescent="0.2">
      <c r="A20">
        <v>19</v>
      </c>
      <c r="B20" s="2">
        <v>46122.624467592592</v>
      </c>
      <c r="C20" s="2">
        <v>46122.625428240739</v>
      </c>
      <c r="D20" s="2">
        <f>OfficeForms.Table[[#This Row],[Completion time]]-OfficeForms.Table[[#This Row],[Start time]]</f>
        <v>9.6064814715646207E-4</v>
      </c>
      <c r="E20" t="s">
        <v>80</v>
      </c>
      <c r="F20" t="s">
        <v>81</v>
      </c>
      <c r="G20" t="s">
        <v>16</v>
      </c>
      <c r="H20" t="s">
        <v>17</v>
      </c>
      <c r="I20" t="s">
        <v>18</v>
      </c>
      <c r="J20" t="s">
        <v>57</v>
      </c>
      <c r="K20" t="s">
        <v>64</v>
      </c>
      <c r="L20" t="s">
        <v>21</v>
      </c>
      <c r="M20" s="1" t="s">
        <v>82</v>
      </c>
      <c r="N20">
        <v>4</v>
      </c>
      <c r="O20" t="s">
        <v>23</v>
      </c>
    </row>
    <row r="21" spans="1:15" x14ac:dyDescent="0.2">
      <c r="A21" s="3"/>
      <c r="B21" s="2"/>
      <c r="C21" s="2"/>
      <c r="D21" s="2">
        <f>AVERAGE(OfficeForms.Table[Completion time2])</f>
        <v>1.5899122805230466E-3</v>
      </c>
      <c r="E21" s="4"/>
      <c r="F21" s="4"/>
      <c r="G21" s="4"/>
      <c r="H21" s="4"/>
      <c r="I21" s="4"/>
      <c r="J21" s="4"/>
      <c r="K21" s="4"/>
      <c r="L21" s="4"/>
      <c r="M21" s="4"/>
      <c r="N21" s="3"/>
      <c r="O21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sultan simsek</cp:lastModifiedBy>
  <cp:revision/>
  <dcterms:created xsi:type="dcterms:W3CDTF">2026-04-13T05:35:33Z</dcterms:created>
  <dcterms:modified xsi:type="dcterms:W3CDTF">2026-04-13T05:46:55Z</dcterms:modified>
  <cp:category/>
  <cp:contentStatus/>
</cp:coreProperties>
</file>