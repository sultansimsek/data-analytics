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esktop/DataAnalytics/week-04/"/>
    </mc:Choice>
  </mc:AlternateContent>
  <xr:revisionPtr revIDLastSave="0" documentId="8_{C5EE28D8-3738-664E-B1B6-EC133860774E}" xr6:coauthVersionLast="47" xr6:coauthVersionMax="47" xr10:uidLastSave="{00000000-0000-0000-0000-000000000000}"/>
  <bookViews>
    <workbookView xWindow="0" yWindow="740" windowWidth="30240" windowHeight="18900" firstSheet="1" activeTab="2" xr2:uid="{6795345C-CB35-0348-AC27-4BEECCE4F135}"/>
  </bookViews>
  <sheets>
    <sheet name="S-%50 of revenue" sheetId="1" r:id="rId1"/>
    <sheet name="S -big vol wholesale " sheetId="3" r:id="rId2"/>
    <sheet name="W-top10_perf_monthly" sheetId="5" r:id="rId3"/>
    <sheet name="W-top10 category share" sheetId="10" r:id="rId4"/>
    <sheet name="O - whiskey liq category" sheetId="13" r:id="rId5"/>
    <sheet name="O- big spenders" sheetId="2" r:id="rId6"/>
    <sheet name="T- county share" sheetId="4" r:id="rId7"/>
    <sheet name="T-top competetitor" sheetId="15" r:id="rId8"/>
    <sheet name="Detail1" sheetId="12" state="hidden" r:id="rId9"/>
  </sheets>
  <definedNames>
    <definedName name="_xlchart.v5.0" hidden="1">'T- county share'!#REF!</definedName>
    <definedName name="_xlchart.v5.1" hidden="1">'T- county share'!#REF!</definedName>
    <definedName name="_xlchart.v5.10" hidden="1">'T- county share'!$C$1</definedName>
    <definedName name="_xlchart.v5.11" hidden="1">'T- county share'!$C$2:$C$100</definedName>
    <definedName name="_xlchart.v5.2" hidden="1">'T- county share'!$A$1</definedName>
    <definedName name="_xlchart.v5.3" hidden="1">'T- county share'!$A$2:$A$100</definedName>
    <definedName name="_xlchart.v5.4" hidden="1">'T- county share'!$B$1</definedName>
    <definedName name="_xlchart.v5.5" hidden="1">'T- county share'!$B$2:$B$100</definedName>
    <definedName name="_xlchart.v5.6" hidden="1">'T- county share'!$A$1</definedName>
    <definedName name="_xlchart.v5.7" hidden="1">'T- county share'!$A$2:$A$100</definedName>
    <definedName name="_xlchart.v5.8" hidden="1">'T- county share'!$B$1</definedName>
    <definedName name="_xlchart.v5.9" hidden="1">'T- county share'!$B$2:$B$100</definedName>
  </definedNames>
  <calcPr calcId="181029"/>
  <pivotCaches>
    <pivotCache cacheId="10" r:id="rId10"/>
    <pivotCache cacheId="22" r:id="rId11"/>
    <pivotCache cacheId="43" r:id="rId12"/>
    <pivotCache cacheId="78" r:id="rId13"/>
    <pivotCache cacheId="118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4" l="1"/>
  <c r="F97" i="4"/>
  <c r="U14" i="5"/>
  <c r="U13" i="5"/>
  <c r="U12" i="5"/>
  <c r="U11" i="5"/>
  <c r="U10" i="5"/>
  <c r="U9" i="5"/>
  <c r="U8" i="5"/>
  <c r="U7" i="5"/>
  <c r="U4" i="5"/>
  <c r="U5" i="5"/>
  <c r="U6" i="5"/>
  <c r="U3" i="5"/>
</calcChain>
</file>

<file path=xl/sharedStrings.xml><?xml version="1.0" encoding="utf-8"?>
<sst xmlns="http://schemas.openxmlformats.org/spreadsheetml/2006/main" count="435" uniqueCount="229">
  <si>
    <t>store</t>
  </si>
  <si>
    <t>store_revenue</t>
  </si>
  <si>
    <t>running_total</t>
  </si>
  <si>
    <t>total_revenue</t>
  </si>
  <si>
    <t>sum</t>
  </si>
  <si>
    <t>avg</t>
  </si>
  <si>
    <t>avg-total</t>
  </si>
  <si>
    <t>county</t>
  </si>
  <si>
    <t>population</t>
  </si>
  <si>
    <t>Fremont, IA</t>
  </si>
  <si>
    <t>Wayne, IA</t>
  </si>
  <si>
    <t>Taylor, IA</t>
  </si>
  <si>
    <t>Louisa, IA</t>
  </si>
  <si>
    <t>Adams, IA</t>
  </si>
  <si>
    <t>Davis, IA</t>
  </si>
  <si>
    <t>Keokuk, IA</t>
  </si>
  <si>
    <t>Ringgold, IA</t>
  </si>
  <si>
    <t>Van Buren, IA</t>
  </si>
  <si>
    <t>Audubon, IA</t>
  </si>
  <si>
    <t>Decatur, IA</t>
  </si>
  <si>
    <t>Worth, IA</t>
  </si>
  <si>
    <t>Osceola, IA</t>
  </si>
  <si>
    <t>Butler, IA</t>
  </si>
  <si>
    <t>Guthrie, IA</t>
  </si>
  <si>
    <t>Monroe, IA</t>
  </si>
  <si>
    <t>Grundy, IA</t>
  </si>
  <si>
    <t>Lucas, IA</t>
  </si>
  <si>
    <t>Ida, IA</t>
  </si>
  <si>
    <t>Chickasaw, IA</t>
  </si>
  <si>
    <t>Greene, IA</t>
  </si>
  <si>
    <t>Pocahontas, IA</t>
  </si>
  <si>
    <t>Calhoun, IA</t>
  </si>
  <si>
    <t>Cedar, IA</t>
  </si>
  <si>
    <t>Hancock, IA</t>
  </si>
  <si>
    <t>Harrison, IA</t>
  </si>
  <si>
    <t>Montgomery, IA</t>
  </si>
  <si>
    <t>Adair, IA</t>
  </si>
  <si>
    <t>Clarke, IA</t>
  </si>
  <si>
    <t>Wright, IA</t>
  </si>
  <si>
    <t>Mitchell, IA</t>
  </si>
  <si>
    <t>Mills, IA</t>
  </si>
  <si>
    <t>Emmet, IA</t>
  </si>
  <si>
    <t>Madison, IA</t>
  </si>
  <si>
    <t>Appanoose, IA</t>
  </si>
  <si>
    <t>Lyon, IA</t>
  </si>
  <si>
    <t>Monona, IA</t>
  </si>
  <si>
    <t>Shelby, IA</t>
  </si>
  <si>
    <t>Jefferson, IA</t>
  </si>
  <si>
    <t>Sac, IA</t>
  </si>
  <si>
    <t>Franklin, IA</t>
  </si>
  <si>
    <t>Humboldt, IA</t>
  </si>
  <si>
    <t>Tama, IA</t>
  </si>
  <si>
    <t>Palo Alto, IA</t>
  </si>
  <si>
    <t>Mahaska, IA</t>
  </si>
  <si>
    <t>Union, IA</t>
  </si>
  <si>
    <t>Clayton, IA</t>
  </si>
  <si>
    <t>Benton, IA</t>
  </si>
  <si>
    <t>Hamilton, IA</t>
  </si>
  <si>
    <t>Cherokee, IA</t>
  </si>
  <si>
    <t>Sioux, IA</t>
  </si>
  <si>
    <t>Henry, IA</t>
  </si>
  <si>
    <t>Winnebago, IA</t>
  </si>
  <si>
    <t>Cass, IA</t>
  </si>
  <si>
    <t>Page, IA</t>
  </si>
  <si>
    <t>Howard, IA</t>
  </si>
  <si>
    <t>Crawford, IA</t>
  </si>
  <si>
    <t>Allamakee, IA</t>
  </si>
  <si>
    <t>Winneshiek, IA</t>
  </si>
  <si>
    <t>Delaware, IA</t>
  </si>
  <si>
    <t>Floyd, IA</t>
  </si>
  <si>
    <t>Buena Vista, IA</t>
  </si>
  <si>
    <t>Clay, IA</t>
  </si>
  <si>
    <t>Plymouth, IA</t>
  </si>
  <si>
    <t>Buchanan, IA</t>
  </si>
  <si>
    <t>Carroll, IA</t>
  </si>
  <si>
    <t>O'Brien, IA</t>
  </si>
  <si>
    <t>Jackson, IA</t>
  </si>
  <si>
    <t>Jones, IA</t>
  </si>
  <si>
    <t>Washington, IA</t>
  </si>
  <si>
    <t>Iowa, IA</t>
  </si>
  <si>
    <t>Poweshiek, IA</t>
  </si>
  <si>
    <t>Jasper, IA</t>
  </si>
  <si>
    <t>Hardin, IA</t>
  </si>
  <si>
    <t>Fayette, IA</t>
  </si>
  <si>
    <t>Marion, IA</t>
  </si>
  <si>
    <t>Boone, IA</t>
  </si>
  <si>
    <t>Bremer, IA</t>
  </si>
  <si>
    <t>Warren, IA</t>
  </si>
  <si>
    <t>Wapello, IA</t>
  </si>
  <si>
    <t>Kossuth, IA</t>
  </si>
  <si>
    <t>Des Moines, IA</t>
  </si>
  <si>
    <t>Webster, IA</t>
  </si>
  <si>
    <t>Dallas, IA</t>
  </si>
  <si>
    <t>Marshall, IA</t>
  </si>
  <si>
    <t>Muscatine, IA</t>
  </si>
  <si>
    <t>Clinton, IA</t>
  </si>
  <si>
    <t>Lee, IA</t>
  </si>
  <si>
    <t>Dickinson, IA</t>
  </si>
  <si>
    <t>Cerro Gordo, IA</t>
  </si>
  <si>
    <t>Woodbury, IA</t>
  </si>
  <si>
    <t>Story, IA</t>
  </si>
  <si>
    <t>Dubuque, IA</t>
  </si>
  <si>
    <t>Pottawattamie, IA</t>
  </si>
  <si>
    <t>Johnson, IA</t>
  </si>
  <si>
    <t>Black Hawk, IA</t>
  </si>
  <si>
    <t>Scott, IA</t>
  </si>
  <si>
    <t>Linn, IA</t>
  </si>
  <si>
    <t>Polk, IA</t>
  </si>
  <si>
    <t>number of stores</t>
  </si>
  <si>
    <t xml:space="preserve">50% of revenue by </t>
  </si>
  <si>
    <t>sum-general</t>
  </si>
  <si>
    <t>sum-sazerac</t>
  </si>
  <si>
    <t>Store ID</t>
  </si>
  <si>
    <t>Row Labels</t>
  </si>
  <si>
    <t>Grand Total</t>
  </si>
  <si>
    <t>Sum of sum-general</t>
  </si>
  <si>
    <t>Sum of sum-sazerac</t>
  </si>
  <si>
    <t>Column Labels</t>
  </si>
  <si>
    <t>stores</t>
  </si>
  <si>
    <t>month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</si>
  <si>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</si>
  <si>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</si>
  <si>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</si>
  <si>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</si>
  <si>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</si>
  <si>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</si>
  <si>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</si>
  <si>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</si>
  <si>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</si>
  <si>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</si>
  <si>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</si>
  <si>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</si>
  <si>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</si>
  <si>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revenue</t>
  </si>
  <si>
    <t>1-Jul</t>
  </si>
  <si>
    <t>average</t>
  </si>
  <si>
    <t>top10avg</t>
  </si>
  <si>
    <t>monthlyavg</t>
  </si>
  <si>
    <t>total_rev</t>
  </si>
  <si>
    <t>Sazerac Co. Inc.</t>
  </si>
  <si>
    <t>Brown-forman Corporation</t>
  </si>
  <si>
    <t>Diageo Americas</t>
  </si>
  <si>
    <t>Phillips Beverage Company</t>
  </si>
  <si>
    <t>Aveniu Brands</t>
  </si>
  <si>
    <t>Castle Brands</t>
  </si>
  <si>
    <t>Broadbent Distillery</t>
  </si>
  <si>
    <t>Yahara Bay Distillers Inc</t>
  </si>
  <si>
    <t>CANADIAN WHISKIES</t>
  </si>
  <si>
    <t>80 PROOF VODKA</t>
  </si>
  <si>
    <t>SPICED RUM</t>
  </si>
  <si>
    <t>IMPORTED VODKA</t>
  </si>
  <si>
    <t>TEQUILA</t>
  </si>
  <si>
    <t>STRAIGHT BOURBON WHISKIES</t>
  </si>
  <si>
    <t>WHISKEY LIQUEUR</t>
  </si>
  <si>
    <t>TENNESSEE WHISKIES</t>
  </si>
  <si>
    <t>PUERTO RICO &amp; VIRGIN ISLANDS RUM</t>
  </si>
  <si>
    <t>BLENDED WHISKIES</t>
  </si>
  <si>
    <t>Top 10 Best Selling Categories</t>
  </si>
  <si>
    <t>Total Revenue</t>
  </si>
  <si>
    <t>Sazerac Revenue</t>
  </si>
  <si>
    <t xml:space="preserve">Sazerac Share </t>
  </si>
  <si>
    <t>Sum of Total Revenue</t>
  </si>
  <si>
    <t>Sum of Sazerac Revenue</t>
  </si>
  <si>
    <t>Details for Sum of Sazerac Revenue - Top 10 Best Selling Categories: BLENDED WHISKIES</t>
  </si>
  <si>
    <t>Fireball Cinnamon Whiskey</t>
  </si>
  <si>
    <t>Southern Comfort</t>
  </si>
  <si>
    <t>Brown-Forman Corporation</t>
  </si>
  <si>
    <t>Fireball Cinnamon Whiskey Mini Dispenser</t>
  </si>
  <si>
    <t>Southern Comfort PET</t>
  </si>
  <si>
    <t>Fireball Cinnamon Whiskey PET</t>
  </si>
  <si>
    <t>Fireball Cinnamon Whisky</t>
  </si>
  <si>
    <t>Yukon Jack Canadian Liqueur</t>
  </si>
  <si>
    <t>Southern Comfort Pet</t>
  </si>
  <si>
    <t>Southern Comfort Bold Black Cherry</t>
  </si>
  <si>
    <t>Southern Comfort 100 Prf</t>
  </si>
  <si>
    <t>Sweet Revenge</t>
  </si>
  <si>
    <t>Park Street Imports-Sweet Revenge</t>
  </si>
  <si>
    <t>Fireball</t>
  </si>
  <si>
    <t>Southern Comfort Mini</t>
  </si>
  <si>
    <t>Hot Stuff</t>
  </si>
  <si>
    <t>Cinerator</t>
  </si>
  <si>
    <t>Evan Williams Honey Reserve</t>
  </si>
  <si>
    <t>Southern Host Whiskey Liqueur</t>
  </si>
  <si>
    <t>Southern Comfort Lime</t>
  </si>
  <si>
    <t>Cinerator Mini</t>
  </si>
  <si>
    <t>Jeremiah Weed 100prf Bourbon Liqueur</t>
  </si>
  <si>
    <t>Piehole Apple Pie</t>
  </si>
  <si>
    <t>Piehole Pecan Pie</t>
  </si>
  <si>
    <t>Evan Williams Cinnamon Reserve</t>
  </si>
  <si>
    <t>Piehole Cherry Pie</t>
  </si>
  <si>
    <t>Charles Jacquin/Independent Spirits</t>
  </si>
  <si>
    <t>Prichard's Sweet Lucy</t>
  </si>
  <si>
    <t>Prichard's Distillery</t>
  </si>
  <si>
    <t>Celtic Crossing Honey Liqueur</t>
  </si>
  <si>
    <t>Piehole Pecan Pie Mini</t>
  </si>
  <si>
    <t>Piehole Apple Pie Mini</t>
  </si>
  <si>
    <t>Piehole Cherry Pie Mini</t>
  </si>
  <si>
    <t>Juggs Cherry Cha-Chas</t>
  </si>
  <si>
    <t>Hot Lil' Hooch Cherry Cinnamon Whiskey</t>
  </si>
  <si>
    <t>Mount Royal Light Canadian Whisky</t>
  </si>
  <si>
    <t>Southern Comfort Caramel</t>
  </si>
  <si>
    <t>Southern Comfort 100 Minis</t>
  </si>
  <si>
    <t>Whiskey Liqueur</t>
  </si>
  <si>
    <t>Fireball Cinnamon Why. .200ml 66 prf</t>
  </si>
  <si>
    <t>Hot Stuff Mini</t>
  </si>
  <si>
    <t>item_no</t>
  </si>
  <si>
    <t>decription</t>
  </si>
  <si>
    <t>vendor</t>
  </si>
  <si>
    <t>bottle_price</t>
  </si>
  <si>
    <t>total _revenue</t>
  </si>
  <si>
    <t>Heaven Hill Inc.</t>
  </si>
  <si>
    <t>transaction_avg</t>
  </si>
  <si>
    <t>Sum of avg</t>
  </si>
  <si>
    <t>Sum of transaction_avg</t>
  </si>
  <si>
    <t>Pernod Ricard Usa/austin Nichols</t>
  </si>
  <si>
    <t>Luxco-st Louis</t>
  </si>
  <si>
    <t>Constellation Wine Company Inc.</t>
  </si>
  <si>
    <t>Proximo</t>
  </si>
  <si>
    <t>Diageo</t>
  </si>
  <si>
    <t>Sazerac</t>
  </si>
  <si>
    <t>Jim Beam</t>
  </si>
  <si>
    <t>Bacardi</t>
  </si>
  <si>
    <t>Vendor</t>
  </si>
  <si>
    <t>Luxco-St Louis</t>
  </si>
  <si>
    <t>Pernod Ricard USA/Austin Nichols</t>
  </si>
  <si>
    <t>count</t>
  </si>
  <si>
    <t>diageo</t>
  </si>
  <si>
    <t>jim beam</t>
  </si>
  <si>
    <t>sazerac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</si>
</sst>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Times New Roman"/>
      <family val="1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2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1" fillId="0" borderId="0" xfId="0" applyFont="1"/>
    <xf numFmtId="8" fontId="0" fillId="0" borderId="0" xfId="0" applyNumberFormat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83FF"/>
      <color rgb="FF5FFFDC"/>
      <color rgb="FF050DFF"/>
      <color rgb="FFE25787"/>
      <color rgb="FFBEFF7E"/>
      <color rgb="FF6F87FF"/>
      <color rgb="FFFFD635"/>
      <color rgb="FFFF8B8F"/>
      <color rgb="FFE72D6A"/>
      <color rgb="FF968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50%</a:t>
            </a:r>
            <a:r>
              <a:rPr lang="en-US" sz="1800" baseline="0">
                <a:solidFill>
                  <a:schemeClr val="tx1"/>
                </a:solidFill>
              </a:rPr>
              <a:t> of Total Revenue Comes From Only 6% of All Stores 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solidFill>
            <a:schemeClr val="accent1">
              <a:alpha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D-F24E-BE9B-637227338FCF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9FD-F24E-BE9B-637227338FCF}"/>
              </c:ext>
            </c:extLst>
          </c:dPt>
          <c:cat>
            <c:strRef>
              <c:f>'S-%50 of revenue'!$G$1:$H$1</c:f>
              <c:strCache>
                <c:ptCount val="2"/>
                <c:pt idx="0">
                  <c:v>number of stores</c:v>
                </c:pt>
                <c:pt idx="1">
                  <c:v>50% of revenue by </c:v>
                </c:pt>
              </c:strCache>
            </c:strRef>
          </c:cat>
          <c:val>
            <c:numRef>
              <c:f>'S-%50 of revenue'!$G$2:$H$2</c:f>
              <c:numCache>
                <c:formatCode>General</c:formatCode>
                <c:ptCount val="2"/>
                <c:pt idx="0">
                  <c:v>1314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D-F24E-BE9B-63722733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[Simsek_Iowa_SWOT.xlsx]S -big vol wholesale !PivotTable16</c:name>
    <c:fmtId val="0"/>
  </c:pivotSource>
  <c:chart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258678312324692E-2"/>
          <c:y val="3.9145910215618446E-2"/>
          <c:w val="0.75562445154493096"/>
          <c:h val="0.916525584703504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 -big vol wholesale '!$G$1</c:f>
              <c:strCache>
                <c:ptCount val="1"/>
                <c:pt idx="0">
                  <c:v>Sum of avg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 -big vol wholesale '!$F$2:$F$12</c:f>
              <c:strCache>
                <c:ptCount val="10"/>
                <c:pt idx="0">
                  <c:v>2633</c:v>
                </c:pt>
                <c:pt idx="1">
                  <c:v>3354</c:v>
                </c:pt>
                <c:pt idx="2">
                  <c:v>3385</c:v>
                </c:pt>
                <c:pt idx="3">
                  <c:v>3420</c:v>
                </c:pt>
                <c:pt idx="4">
                  <c:v>3477</c:v>
                </c:pt>
                <c:pt idx="5">
                  <c:v>3494</c:v>
                </c:pt>
                <c:pt idx="6">
                  <c:v>3521</c:v>
                </c:pt>
                <c:pt idx="7">
                  <c:v>3524</c:v>
                </c:pt>
                <c:pt idx="8">
                  <c:v>3814</c:v>
                </c:pt>
                <c:pt idx="9">
                  <c:v>4829</c:v>
                </c:pt>
              </c:strCache>
            </c:strRef>
          </c:cat>
          <c:val>
            <c:numRef>
              <c:f>'S -big vol wholesale '!$G$2:$G$12</c:f>
              <c:numCache>
                <c:formatCode>General</c:formatCode>
                <c:ptCount val="10"/>
                <c:pt idx="0">
                  <c:v>693.81285522187295</c:v>
                </c:pt>
                <c:pt idx="1">
                  <c:v>682.51198083067004</c:v>
                </c:pt>
                <c:pt idx="2">
                  <c:v>1033.87657667386</c:v>
                </c:pt>
                <c:pt idx="3">
                  <c:v>1347.0508893280601</c:v>
                </c:pt>
                <c:pt idx="4">
                  <c:v>844.70392405063205</c:v>
                </c:pt>
                <c:pt idx="5">
                  <c:v>730.92701754385905</c:v>
                </c:pt>
                <c:pt idx="6">
                  <c:v>740.31290322580605</c:v>
                </c:pt>
                <c:pt idx="7">
                  <c:v>959.15508951406605</c:v>
                </c:pt>
                <c:pt idx="8">
                  <c:v>871.28330578512305</c:v>
                </c:pt>
                <c:pt idx="9">
                  <c:v>728.41325493885199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3-6F41-AA52-17DEBD6F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664863"/>
        <c:axId val="312899919"/>
      </c:barChart>
      <c:lineChart>
        <c:grouping val="standard"/>
        <c:varyColors val="0"/>
        <c:ser>
          <c:idx val="1"/>
          <c:order val="1"/>
          <c:tx>
            <c:strRef>
              <c:f>'S -big vol wholesale '!$H$1</c:f>
              <c:strCache>
                <c:ptCount val="1"/>
                <c:pt idx="0">
                  <c:v>Sum of transaction_avg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 -big vol wholesale '!$F$2:$F$12</c:f>
              <c:strCache>
                <c:ptCount val="10"/>
                <c:pt idx="0">
                  <c:v>2633</c:v>
                </c:pt>
                <c:pt idx="1">
                  <c:v>3354</c:v>
                </c:pt>
                <c:pt idx="2">
                  <c:v>3385</c:v>
                </c:pt>
                <c:pt idx="3">
                  <c:v>3420</c:v>
                </c:pt>
                <c:pt idx="4">
                  <c:v>3477</c:v>
                </c:pt>
                <c:pt idx="5">
                  <c:v>3494</c:v>
                </c:pt>
                <c:pt idx="6">
                  <c:v>3521</c:v>
                </c:pt>
                <c:pt idx="7">
                  <c:v>3524</c:v>
                </c:pt>
                <c:pt idx="8">
                  <c:v>3814</c:v>
                </c:pt>
                <c:pt idx="9">
                  <c:v>4829</c:v>
                </c:pt>
              </c:strCache>
            </c:strRef>
          </c:cat>
          <c:val>
            <c:numRef>
              <c:f>'S -big vol wholesale '!$H$2:$H$12</c:f>
              <c:numCache>
                <c:formatCode>General</c:formatCode>
                <c:ptCount val="10"/>
                <c:pt idx="0">
                  <c:v>129.80000000000001</c:v>
                </c:pt>
                <c:pt idx="1">
                  <c:v>129.80000000000001</c:v>
                </c:pt>
                <c:pt idx="2">
                  <c:v>129.80000000000001</c:v>
                </c:pt>
                <c:pt idx="3">
                  <c:v>129.80000000000001</c:v>
                </c:pt>
                <c:pt idx="4">
                  <c:v>129.80000000000001</c:v>
                </c:pt>
                <c:pt idx="5">
                  <c:v>129.80000000000001</c:v>
                </c:pt>
                <c:pt idx="6">
                  <c:v>129.80000000000001</c:v>
                </c:pt>
                <c:pt idx="7">
                  <c:v>129.80000000000001</c:v>
                </c:pt>
                <c:pt idx="8">
                  <c:v>129.80000000000001</c:v>
                </c:pt>
                <c:pt idx="9">
                  <c:v>129.80000000000001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D3-6F41-AA52-17DEBD6F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664863"/>
        <c:axId val="312899919"/>
      </c:lineChart>
      <c:catAx>
        <c:axId val="84066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899919"/>
        <c:crosses val="autoZero"/>
        <c:auto val="1"/>
        <c:lblAlgn val="ctr"/>
        <c:lblOffset val="100"/>
        <c:noMultiLvlLbl val="0"/>
      </c:catAx>
      <c:valAx>
        <c:axId val="31289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6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[Simsek_Iowa_SWOT.xlsx]W-top10_perf_monthly!PivotTable6</c:name>
    <c:fmtId val="0"/>
  </c:pivotSource>
  <c:chart>
    <c:autoTitleDeleted val="0"/>
    <c:pivotFmts>
      <c:pivotFmt>
        <c:idx val="0"/>
        <c:spPr>
          <a:ln w="28575" cap="rnd">
            <a:solidFill>
              <a:srgbClr val="FF8B8F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FF8B8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EFF7E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rgbClr val="BEFF7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183FF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rgbClr val="F183F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FFFDC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rgbClr val="5FFFD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D63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rgbClr val="FFD63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E25787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rgbClr val="E25787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831622609673792E-2"/>
          <c:y val="1.6528925619834711E-2"/>
          <c:w val="0.86748963020247472"/>
          <c:h val="0.93734018784841977"/>
        </c:manualLayout>
      </c:layout>
      <c:lineChart>
        <c:grouping val="standard"/>
        <c:varyColors val="0"/>
        <c:ser>
          <c:idx val="0"/>
          <c:order val="0"/>
          <c:tx>
            <c:strRef>
              <c:f>'W-top10_perf_monthly'!$G$1:$G$2</c:f>
              <c:strCache>
                <c:ptCount val="1"/>
                <c:pt idx="0">
                  <c:v>2512</c:v>
                </c:pt>
              </c:strCache>
            </c:strRef>
          </c:tx>
          <c:spPr>
            <a:ln w="28575" cap="rnd">
              <a:solidFill>
                <a:srgbClr val="FF8B8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8B8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'W-top10_perf_monthly'!$G$3:$G$16</c:f>
              <c:numCache>
                <c:formatCode>General</c:formatCode>
                <c:ptCount val="12"/>
                <c:pt idx="0">
                  <c:v>62946.720000000001</c:v>
                </c:pt>
                <c:pt idx="1">
                  <c:v>53826.12</c:v>
                </c:pt>
                <c:pt idx="2">
                  <c:v>54097.86</c:v>
                </c:pt>
                <c:pt idx="3">
                  <c:v>61318.18</c:v>
                </c:pt>
                <c:pt idx="4">
                  <c:v>70656.899999999994</c:v>
                </c:pt>
                <c:pt idx="5">
                  <c:v>29698.86</c:v>
                </c:pt>
                <c:pt idx="6">
                  <c:v>27010.17</c:v>
                </c:pt>
                <c:pt idx="7">
                  <c:v>32053.360000000001</c:v>
                </c:pt>
                <c:pt idx="8">
                  <c:v>42202.77</c:v>
                </c:pt>
                <c:pt idx="9">
                  <c:v>56406.66</c:v>
                </c:pt>
                <c:pt idx="10">
                  <c:v>25974.91</c:v>
                </c:pt>
                <c:pt idx="11">
                  <c:v>14475.15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E-BE49-BEF4-667C147BC0AD}"/>
            </c:ext>
          </c:extLst>
        </c:ser>
        <c:ser>
          <c:idx val="1"/>
          <c:order val="1"/>
          <c:tx>
            <c:strRef>
              <c:f>'W-top10_perf_monthly'!$H$1:$H$2</c:f>
              <c:strCache>
                <c:ptCount val="1"/>
                <c:pt idx="0">
                  <c:v>2625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'W-top10_perf_monthly'!$H$3:$H$16</c:f>
              <c:numCache>
                <c:formatCode>General</c:formatCode>
                <c:ptCount val="12"/>
                <c:pt idx="0">
                  <c:v>39862.76</c:v>
                </c:pt>
                <c:pt idx="1">
                  <c:v>38874.78</c:v>
                </c:pt>
                <c:pt idx="2">
                  <c:v>44769.760000000002</c:v>
                </c:pt>
                <c:pt idx="3">
                  <c:v>48560.56</c:v>
                </c:pt>
                <c:pt idx="4">
                  <c:v>40615.08</c:v>
                </c:pt>
                <c:pt idx="5">
                  <c:v>26261.57</c:v>
                </c:pt>
                <c:pt idx="6">
                  <c:v>21682.799999999999</c:v>
                </c:pt>
                <c:pt idx="7">
                  <c:v>19508.78</c:v>
                </c:pt>
                <c:pt idx="8">
                  <c:v>20542.54</c:v>
                </c:pt>
                <c:pt idx="9">
                  <c:v>35350.99</c:v>
                </c:pt>
                <c:pt idx="10">
                  <c:v>20648.77</c:v>
                </c:pt>
                <c:pt idx="11">
                  <c:v>8493.2900000000009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FE-BE49-BEF4-667C147BC0AD}"/>
            </c:ext>
          </c:extLst>
        </c:ser>
        <c:ser>
          <c:idx val="2"/>
          <c:order val="2"/>
          <c:tx>
            <c:strRef>
              <c:f>'W-top10_perf_monthly'!$I$1:$I$2</c:f>
              <c:strCache>
                <c:ptCount val="1"/>
                <c:pt idx="0">
                  <c:v>2633</c:v>
                </c:pt>
              </c:strCache>
            </c:strRef>
          </c:tx>
          <c:spPr>
            <a:ln w="28575" cap="rnd">
              <a:solidFill>
                <a:srgbClr val="BEFF7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rgbClr val="BEFF7E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'W-top10_perf_monthly'!$I$3:$I$16</c:f>
              <c:numCache>
                <c:formatCode>General</c:formatCode>
                <c:ptCount val="12"/>
                <c:pt idx="0">
                  <c:v>160216.66</c:v>
                </c:pt>
                <c:pt idx="1">
                  <c:v>163008.56</c:v>
                </c:pt>
                <c:pt idx="2">
                  <c:v>193396.7</c:v>
                </c:pt>
                <c:pt idx="3">
                  <c:v>201371.14</c:v>
                </c:pt>
                <c:pt idx="4">
                  <c:v>161225.34</c:v>
                </c:pt>
                <c:pt idx="5">
                  <c:v>65491.81</c:v>
                </c:pt>
                <c:pt idx="6">
                  <c:v>103177.52</c:v>
                </c:pt>
                <c:pt idx="7">
                  <c:v>82495.710000000006</c:v>
                </c:pt>
                <c:pt idx="8">
                  <c:v>80119.12</c:v>
                </c:pt>
                <c:pt idx="9">
                  <c:v>85912.01</c:v>
                </c:pt>
                <c:pt idx="10">
                  <c:v>74358.03</c:v>
                </c:pt>
                <c:pt idx="11">
                  <c:v>28909.88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E-BE49-BEF4-667C147BC0AD}"/>
            </c:ext>
          </c:extLst>
        </c:ser>
        <c:ser>
          <c:idx val="3"/>
          <c:order val="3"/>
          <c:tx>
            <c:strRef>
              <c:f>'W-top10_perf_monthly'!$J$1:$J$2</c:f>
              <c:strCache>
                <c:ptCount val="1"/>
                <c:pt idx="0">
                  <c:v>3354</c:v>
                </c:pt>
              </c:strCache>
            </c:strRef>
          </c:tx>
          <c:spPr>
            <a:ln w="28575" cap="rnd">
              <a:solidFill>
                <a:srgbClr val="F183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F183F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'W-top10_perf_monthly'!$J$3:$J$16</c:f>
              <c:numCache>
                <c:formatCode>General</c:formatCode>
                <c:ptCount val="12"/>
                <c:pt idx="0">
                  <c:v>45786.36</c:v>
                </c:pt>
                <c:pt idx="1">
                  <c:v>21092.400000000001</c:v>
                </c:pt>
                <c:pt idx="2">
                  <c:v>61192.08</c:v>
                </c:pt>
                <c:pt idx="3">
                  <c:v>25260.36</c:v>
                </c:pt>
                <c:pt idx="4">
                  <c:v>54814.2</c:v>
                </c:pt>
                <c:pt idx="5">
                  <c:v>33826.199999999997</c:v>
                </c:pt>
                <c:pt idx="6">
                  <c:v>25508.639999999999</c:v>
                </c:pt>
                <c:pt idx="7">
                  <c:v>42552</c:v>
                </c:pt>
                <c:pt idx="8">
                  <c:v>19576.62</c:v>
                </c:pt>
                <c:pt idx="9">
                  <c:v>27148.32</c:v>
                </c:pt>
                <c:pt idx="10">
                  <c:v>21196.32</c:v>
                </c:pt>
                <c:pt idx="11">
                  <c:v>11378.94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FE-BE49-BEF4-667C147BC0AD}"/>
            </c:ext>
          </c:extLst>
        </c:ser>
        <c:ser>
          <c:idx val="4"/>
          <c:order val="4"/>
          <c:tx>
            <c:strRef>
              <c:f>'W-top10_perf_monthly'!$K$1:$K$2</c:f>
              <c:strCache>
                <c:ptCount val="1"/>
                <c:pt idx="0">
                  <c:v>3385</c:v>
                </c:pt>
              </c:strCache>
            </c:strRef>
          </c:tx>
          <c:spPr>
            <a:ln w="28575" cap="rnd">
              <a:solidFill>
                <a:srgbClr val="5FFFD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rgbClr val="5FFFDC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'W-top10_perf_monthly'!$K$3:$K$16</c:f>
              <c:numCache>
                <c:formatCode>General</c:formatCode>
                <c:ptCount val="12"/>
                <c:pt idx="0">
                  <c:v>99235.08</c:v>
                </c:pt>
                <c:pt idx="1">
                  <c:v>69093.440000000002</c:v>
                </c:pt>
                <c:pt idx="2">
                  <c:v>146342.28</c:v>
                </c:pt>
                <c:pt idx="3">
                  <c:v>75138.600000000006</c:v>
                </c:pt>
                <c:pt idx="4">
                  <c:v>84311.28</c:v>
                </c:pt>
                <c:pt idx="5">
                  <c:v>83578.33</c:v>
                </c:pt>
                <c:pt idx="6">
                  <c:v>43183.38</c:v>
                </c:pt>
                <c:pt idx="7">
                  <c:v>69011.820000000007</c:v>
                </c:pt>
                <c:pt idx="8">
                  <c:v>39947.64</c:v>
                </c:pt>
                <c:pt idx="9">
                  <c:v>57383.58</c:v>
                </c:pt>
                <c:pt idx="10">
                  <c:v>51899.64</c:v>
                </c:pt>
                <c:pt idx="11">
                  <c:v>47392.62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FE-BE49-BEF4-667C147BC0AD}"/>
            </c:ext>
          </c:extLst>
        </c:ser>
        <c:ser>
          <c:idx val="5"/>
          <c:order val="5"/>
          <c:tx>
            <c:strRef>
              <c:f>'W-top10_perf_monthly'!$L$1:$L$2</c:f>
              <c:strCache>
                <c:ptCount val="1"/>
                <c:pt idx="0">
                  <c:v>3420</c:v>
                </c:pt>
              </c:strCache>
            </c:strRef>
          </c:tx>
          <c:spPr>
            <a:ln w="28575" cap="rnd">
              <a:solidFill>
                <a:srgbClr val="FFD63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rgbClr val="FFD63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'W-top10_perf_monthly'!$L$3:$L$16</c:f>
              <c:numCache>
                <c:formatCode>General</c:formatCode>
                <c:ptCount val="12"/>
                <c:pt idx="0">
                  <c:v>94535.52</c:v>
                </c:pt>
                <c:pt idx="1">
                  <c:v>24189.48</c:v>
                </c:pt>
                <c:pt idx="2">
                  <c:v>104166.24</c:v>
                </c:pt>
                <c:pt idx="3">
                  <c:v>48603.16</c:v>
                </c:pt>
                <c:pt idx="4">
                  <c:v>65363.040000000001</c:v>
                </c:pt>
                <c:pt idx="5">
                  <c:v>45867.12</c:v>
                </c:pt>
                <c:pt idx="6">
                  <c:v>44057.64</c:v>
                </c:pt>
                <c:pt idx="7">
                  <c:v>51868.62</c:v>
                </c:pt>
                <c:pt idx="8">
                  <c:v>33530.1</c:v>
                </c:pt>
                <c:pt idx="9">
                  <c:v>49031.040000000001</c:v>
                </c:pt>
                <c:pt idx="10">
                  <c:v>26891.16</c:v>
                </c:pt>
                <c:pt idx="11">
                  <c:v>37120.379999999997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FE-BE49-BEF4-667C147BC0AD}"/>
            </c:ext>
          </c:extLst>
        </c:ser>
        <c:ser>
          <c:idx val="6"/>
          <c:order val="6"/>
          <c:tx>
            <c:strRef>
              <c:f>'W-top10_perf_monthly'!$M$1:$M$2</c:f>
              <c:strCache>
                <c:ptCount val="1"/>
                <c:pt idx="0">
                  <c:v>3494</c:v>
                </c:pt>
              </c:strCache>
            </c:strRef>
          </c:tx>
          <c:spPr>
            <a:ln w="28575" cap="rnd">
              <a:solidFill>
                <a:srgbClr val="E2578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rgbClr val="E25787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'W-top10_perf_monthly'!$M$3:$M$16</c:f>
              <c:numCache>
                <c:formatCode>General</c:formatCode>
                <c:ptCount val="12"/>
                <c:pt idx="0">
                  <c:v>49065.48</c:v>
                </c:pt>
                <c:pt idx="1">
                  <c:v>35285.72</c:v>
                </c:pt>
                <c:pt idx="2">
                  <c:v>62017.56</c:v>
                </c:pt>
                <c:pt idx="3">
                  <c:v>37897.32</c:v>
                </c:pt>
                <c:pt idx="4">
                  <c:v>42676.92</c:v>
                </c:pt>
                <c:pt idx="5">
                  <c:v>33245.339999999997</c:v>
                </c:pt>
                <c:pt idx="6">
                  <c:v>21797.16</c:v>
                </c:pt>
                <c:pt idx="7">
                  <c:v>29599.8</c:v>
                </c:pt>
                <c:pt idx="8">
                  <c:v>21839.7</c:v>
                </c:pt>
                <c:pt idx="9">
                  <c:v>23294.58</c:v>
                </c:pt>
                <c:pt idx="10">
                  <c:v>31033.02</c:v>
                </c:pt>
                <c:pt idx="11">
                  <c:v>16110.36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FE-BE49-BEF4-667C147BC0AD}"/>
            </c:ext>
          </c:extLst>
        </c:ser>
        <c:ser>
          <c:idx val="7"/>
          <c:order val="7"/>
          <c:tx>
            <c:strRef>
              <c:f>'W-top10_perf_monthly'!$N$1:$N$2</c:f>
              <c:strCache>
                <c:ptCount val="1"/>
                <c:pt idx="0">
                  <c:v>3524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'W-top10_perf_monthly'!$N$3:$N$16</c:f>
              <c:numCache>
                <c:formatCode>General</c:formatCode>
                <c:ptCount val="12"/>
                <c:pt idx="0">
                  <c:v>82064.88</c:v>
                </c:pt>
                <c:pt idx="1">
                  <c:v>8410.32</c:v>
                </c:pt>
                <c:pt idx="2">
                  <c:v>28235.279999999999</c:v>
                </c:pt>
                <c:pt idx="3">
                  <c:v>23131.32</c:v>
                </c:pt>
                <c:pt idx="4">
                  <c:v>47182.44</c:v>
                </c:pt>
                <c:pt idx="5">
                  <c:v>23154.959999999999</c:v>
                </c:pt>
                <c:pt idx="6">
                  <c:v>22490.28</c:v>
                </c:pt>
                <c:pt idx="7">
                  <c:v>22454.639999999999</c:v>
                </c:pt>
                <c:pt idx="8">
                  <c:v>30215.52</c:v>
                </c:pt>
                <c:pt idx="9">
                  <c:v>21351.360000000001</c:v>
                </c:pt>
                <c:pt idx="10">
                  <c:v>17958.12</c:v>
                </c:pt>
                <c:pt idx="11">
                  <c:v>18407.46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FE-BE49-BEF4-667C147BC0AD}"/>
            </c:ext>
          </c:extLst>
        </c:ser>
        <c:ser>
          <c:idx val="8"/>
          <c:order val="8"/>
          <c:tx>
            <c:strRef>
              <c:f>'W-top10_perf_monthly'!$O$1:$O$2</c:f>
              <c:strCache>
                <c:ptCount val="1"/>
                <c:pt idx="0">
                  <c:v>3952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'W-top10_perf_monthly'!$O$3:$O$16</c:f>
              <c:numCache>
                <c:formatCode>General</c:formatCode>
                <c:ptCount val="12"/>
                <c:pt idx="0">
                  <c:v>42945.8</c:v>
                </c:pt>
                <c:pt idx="1">
                  <c:v>54344.28</c:v>
                </c:pt>
                <c:pt idx="2">
                  <c:v>66099</c:v>
                </c:pt>
                <c:pt idx="3">
                  <c:v>67234.34</c:v>
                </c:pt>
                <c:pt idx="4">
                  <c:v>58734.46</c:v>
                </c:pt>
                <c:pt idx="5">
                  <c:v>28730.79</c:v>
                </c:pt>
                <c:pt idx="6">
                  <c:v>34038.22</c:v>
                </c:pt>
                <c:pt idx="7">
                  <c:v>33396.9</c:v>
                </c:pt>
                <c:pt idx="8">
                  <c:v>29462.74</c:v>
                </c:pt>
                <c:pt idx="9">
                  <c:v>35456.76</c:v>
                </c:pt>
                <c:pt idx="10">
                  <c:v>25261.05</c:v>
                </c:pt>
                <c:pt idx="11">
                  <c:v>14204.4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FE-BE49-BEF4-667C147BC0AD}"/>
            </c:ext>
          </c:extLst>
        </c:ser>
        <c:ser>
          <c:idx val="9"/>
          <c:order val="9"/>
          <c:tx>
            <c:strRef>
              <c:f>'W-top10_perf_monthly'!$P$1:$P$2</c:f>
              <c:strCache>
                <c:ptCount val="1"/>
                <c:pt idx="0">
                  <c:v>4829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'W-top10_perf_monthly'!$P$3:$P$16</c:f>
              <c:numCache>
                <c:formatCode>General</c:formatCode>
                <c:ptCount val="12"/>
                <c:pt idx="0">
                  <c:v>161734.66</c:v>
                </c:pt>
                <c:pt idx="1">
                  <c:v>156945.06</c:v>
                </c:pt>
                <c:pt idx="2">
                  <c:v>178812.98</c:v>
                </c:pt>
                <c:pt idx="3">
                  <c:v>164408.20000000001</c:v>
                </c:pt>
                <c:pt idx="4">
                  <c:v>188383.4</c:v>
                </c:pt>
                <c:pt idx="5">
                  <c:v>83636.08</c:v>
                </c:pt>
                <c:pt idx="6">
                  <c:v>89695.85</c:v>
                </c:pt>
                <c:pt idx="7">
                  <c:v>82526.42</c:v>
                </c:pt>
                <c:pt idx="8">
                  <c:v>80972.39</c:v>
                </c:pt>
                <c:pt idx="9">
                  <c:v>94814.81</c:v>
                </c:pt>
                <c:pt idx="10">
                  <c:v>76077.22</c:v>
                </c:pt>
                <c:pt idx="11">
                  <c:v>30634.97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FE-BE49-BEF4-667C147BC0AD}"/>
            </c:ext>
          </c:extLst>
        </c:ser>
        <c:ser>
          <c:idx val="10"/>
          <c:order val="10"/>
          <c:tx>
            <c:strRef>
              <c:f>'W-top10_perf_monthly'!$Q$1:$Q$2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'W-top10_perf_monthly'!$F$3:$F$16</c:f>
              <c:multiLvlStrCache>
                <c:ptCount val="12"/>
                <c:lvl>
                  <c:pt idx="6">
                    <c:v>1-Jul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</c:multiLvlStrCache>
            </c:multiLvlStrRef>
          </c:cat>
          <c:val>
            <c:numRef>
              <c:f>'W-top10_perf_monthly'!$Q$3:$Q$16</c:f>
              <c:numCache>
                <c:formatCode>General</c:formatCode>
                <c:ptCount val="12"/>
                <c:pt idx="0">
                  <c:v>3617.59</c:v>
                </c:pt>
                <c:pt idx="1">
                  <c:v>3357.75</c:v>
                </c:pt>
                <c:pt idx="2">
                  <c:v>3721.51</c:v>
                </c:pt>
                <c:pt idx="3">
                  <c:v>4021.04</c:v>
                </c:pt>
                <c:pt idx="4">
                  <c:v>3703.92</c:v>
                </c:pt>
                <c:pt idx="5">
                  <c:v>2074.34</c:v>
                </c:pt>
                <c:pt idx="6">
                  <c:v>2062.84</c:v>
                </c:pt>
                <c:pt idx="7">
                  <c:v>2083.16</c:v>
                </c:pt>
                <c:pt idx="8">
                  <c:v>2062.7399999999998</c:v>
                </c:pt>
                <c:pt idx="9">
                  <c:v>2316.36</c:v>
                </c:pt>
                <c:pt idx="10">
                  <c:v>1870.29</c:v>
                </c:pt>
                <c:pt idx="11">
                  <c:v>1015.85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FE-BE49-BEF4-667C147BC0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239392"/>
        <c:axId val="225283359"/>
      </c:lineChart>
      <c:catAx>
        <c:axId val="11372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283359"/>
        <c:crosses val="autoZero"/>
        <c:auto val="1"/>
        <c:lblAlgn val="ctr"/>
        <c:lblOffset val="100"/>
        <c:noMultiLvlLbl val="0"/>
      </c:catAx>
      <c:valAx>
        <c:axId val="2252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[Simsek_Iowa_SWOT.xlsx]W-top10 category share!PivotTable9</c:name>
    <c:fmtId val="1"/>
  </c:pivotSource>
  <c:chart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55803911607825"/>
          <c:y val="0.22427386863266296"/>
          <c:w val="0.6027892394457558"/>
          <c:h val="0.50325112758963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'W-top10 category share'!$B$14</c:f>
              <c:strCache>
                <c:ptCount val="1"/>
                <c:pt idx="0">
                  <c:v>Sum of Sazerac Revenue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'W-top10 category share'!$A$15:$A$25</c:f>
              <c:strCache>
                <c:ptCount val="10"/>
                <c:pt idx="0">
                  <c:v>80 PROOF VODKA</c:v>
                </c:pt>
                <c:pt idx="1">
                  <c:v>BLENDED WHISKIES</c:v>
                </c:pt>
                <c:pt idx="2">
                  <c:v>CANADIAN WHISKIES</c:v>
                </c:pt>
                <c:pt idx="3">
                  <c:v>IMPORTED VODKA</c:v>
                </c:pt>
                <c:pt idx="4">
                  <c:v>PUERTO RICO &amp; VIRGIN ISLANDS RUM</c:v>
                </c:pt>
                <c:pt idx="5">
                  <c:v>SPICED RUM</c:v>
                </c:pt>
                <c:pt idx="6">
                  <c:v>STRAIGHT BOURBON WHISKIES</c:v>
                </c:pt>
                <c:pt idx="7">
                  <c:v>TENNESSEE WHISKIES</c:v>
                </c:pt>
                <c:pt idx="8">
                  <c:v>TEQUILA</c:v>
                </c:pt>
                <c:pt idx="9">
                  <c:v>WHISKEY LIQUEUR</c:v>
                </c:pt>
              </c:strCache>
            </c:strRef>
          </c:cat>
          <c:val>
            <c:numRef>
              <c:f>'W-top10 category share'!$B$15:$B$25</c:f>
              <c:numCache>
                <c:formatCode>General</c:formatCode>
                <c:ptCount val="10"/>
                <c:pt idx="0">
                  <c:v>6963649.9800000004</c:v>
                </c:pt>
                <c:pt idx="1">
                  <c:v>92084.54</c:v>
                </c:pt>
                <c:pt idx="2">
                  <c:v>2906800.2</c:v>
                </c:pt>
                <c:pt idx="3">
                  <c:v>1140</c:v>
                </c:pt>
                <c:pt idx="4">
                  <c:v>193326</c:v>
                </c:pt>
                <c:pt idx="5">
                  <c:v>54876.42</c:v>
                </c:pt>
                <c:pt idx="6">
                  <c:v>2735367.09</c:v>
                </c:pt>
                <c:pt idx="7">
                  <c:v>0</c:v>
                </c:pt>
                <c:pt idx="8">
                  <c:v>1571728.53</c:v>
                </c:pt>
                <c:pt idx="9">
                  <c:v>13217102.539999999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2-5744-9FA4-AF4ACF715FDA}"/>
            </c:ext>
          </c:extLst>
        </c:ser>
        <c:ser>
          <c:idx val="1"/>
          <c:order val="1"/>
          <c:tx>
            <c:strRef>
              <c:f>'W-top10 category share'!$C$14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'W-top10 category share'!$A$15:$A$25</c:f>
              <c:strCache>
                <c:ptCount val="10"/>
                <c:pt idx="0">
                  <c:v>80 PROOF VODKA</c:v>
                </c:pt>
                <c:pt idx="1">
                  <c:v>BLENDED WHISKIES</c:v>
                </c:pt>
                <c:pt idx="2">
                  <c:v>CANADIAN WHISKIES</c:v>
                </c:pt>
                <c:pt idx="3">
                  <c:v>IMPORTED VODKA</c:v>
                </c:pt>
                <c:pt idx="4">
                  <c:v>PUERTO RICO &amp; VIRGIN ISLANDS RUM</c:v>
                </c:pt>
                <c:pt idx="5">
                  <c:v>SPICED RUM</c:v>
                </c:pt>
                <c:pt idx="6">
                  <c:v>STRAIGHT BOURBON WHISKIES</c:v>
                </c:pt>
                <c:pt idx="7">
                  <c:v>TENNESSEE WHISKIES</c:v>
                </c:pt>
                <c:pt idx="8">
                  <c:v>TEQUILA</c:v>
                </c:pt>
                <c:pt idx="9">
                  <c:v>WHISKEY LIQUEUR</c:v>
                </c:pt>
              </c:strCache>
            </c:strRef>
          </c:cat>
          <c:val>
            <c:numRef>
              <c:f>'W-top10 category share'!$C$15:$C$25</c:f>
              <c:numCache>
                <c:formatCode>General</c:formatCode>
                <c:ptCount val="10"/>
                <c:pt idx="0">
                  <c:v>48045532.509999998</c:v>
                </c:pt>
                <c:pt idx="1">
                  <c:v>12037250.550000001</c:v>
                </c:pt>
                <c:pt idx="2">
                  <c:v>48053061.909999996</c:v>
                </c:pt>
                <c:pt idx="3">
                  <c:v>23879524.629999999</c:v>
                </c:pt>
                <c:pt idx="4">
                  <c:v>12729072.76</c:v>
                </c:pt>
                <c:pt idx="5">
                  <c:v>31600618.5</c:v>
                </c:pt>
                <c:pt idx="6">
                  <c:v>20924480.190000001</c:v>
                </c:pt>
                <c:pt idx="7">
                  <c:v>17647970.350000001</c:v>
                </c:pt>
                <c:pt idx="8">
                  <c:v>21411263.640000001</c:v>
                </c:pt>
                <c:pt idx="9">
                  <c:v>19339201.420000002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2-5744-9FA4-AF4ACF715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6080336"/>
        <c:axId val="227283343"/>
      </c:barChart>
      <c:catAx>
        <c:axId val="20360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83343"/>
        <c:crosses val="autoZero"/>
        <c:auto val="1"/>
        <c:lblAlgn val="ctr"/>
        <c:lblOffset val="100"/>
        <c:noMultiLvlLbl val="0"/>
      </c:catAx>
      <c:valAx>
        <c:axId val="2272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08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Broader</a:t>
            </a:r>
            <a:r>
              <a:rPr lang="en-US" sz="1800" baseline="0">
                <a:solidFill>
                  <a:schemeClr val="tx1"/>
                </a:solidFill>
              </a:rPr>
              <a:t> Portfolio Could Mean More Shelf Space </a:t>
            </a:r>
          </a:p>
          <a:p>
            <a:pPr>
              <a:defRPr/>
            </a:pPr>
            <a:r>
              <a:rPr lang="en-US" sz="1800" baseline="0">
                <a:solidFill>
                  <a:schemeClr val="tx1"/>
                </a:solidFill>
              </a:rPr>
              <a:t>- Diageo Proves It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 - whiskey liq category'!$J$1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 - whiskey liq category'!$I$2:$I$6</c:f>
              <c:strCache>
                <c:ptCount val="5"/>
                <c:pt idx="0">
                  <c:v>diageo</c:v>
                </c:pt>
                <c:pt idx="1">
                  <c:v>jim beam</c:v>
                </c:pt>
                <c:pt idx="2">
                  <c:v>sazerac</c:v>
                </c:pt>
                <c:pt idx="3">
                  <c:v>Luxco-St Louis</c:v>
                </c:pt>
                <c:pt idx="4">
                  <c:v>Pernod Ricard USA/Austin Nichols</c:v>
                </c:pt>
              </c:strCache>
            </c:strRef>
          </c:cat>
          <c:val>
            <c:numRef>
              <c:f>'O - whiskey liq category'!$J$2:$J$6</c:f>
              <c:numCache>
                <c:formatCode>General</c:formatCode>
                <c:ptCount val="5"/>
                <c:pt idx="0">
                  <c:v>511078</c:v>
                </c:pt>
                <c:pt idx="1">
                  <c:v>299813</c:v>
                </c:pt>
                <c:pt idx="2">
                  <c:v>287509</c:v>
                </c:pt>
                <c:pt idx="3">
                  <c:v>279212</c:v>
                </c:pt>
                <c:pt idx="4">
                  <c:v>192592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E-594F-B8B7-AF4897482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2874927"/>
        <c:axId val="1460721951"/>
      </c:barChart>
      <c:catAx>
        <c:axId val="130287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721951"/>
        <c:crosses val="autoZero"/>
        <c:auto val="1"/>
        <c:lblAlgn val="ctr"/>
        <c:lblOffset val="100"/>
        <c:noMultiLvlLbl val="0"/>
      </c:catAx>
      <c:valAx>
        <c:axId val="146072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7030A0">
                  <a:alpha val="800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87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[Simsek_Iowa_SWOT.xlsx]O- big spenders!PivotTable3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91857551527817"/>
          <c:y val="9.9954382750702842E-2"/>
          <c:w val="0.59063345671037237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'O- big spenders'!$H$3</c:f>
              <c:strCache>
                <c:ptCount val="1"/>
                <c:pt idx="0">
                  <c:v>Sum of sum-general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'O- big spenders'!$G$4:$G$24</c:f>
              <c:strCache>
                <c:ptCount val="20"/>
                <c:pt idx="0">
                  <c:v>4095</c:v>
                </c:pt>
                <c:pt idx="1">
                  <c:v>4503</c:v>
                </c:pt>
                <c:pt idx="2">
                  <c:v>4529</c:v>
                </c:pt>
                <c:pt idx="3">
                  <c:v>4657</c:v>
                </c:pt>
                <c:pt idx="4">
                  <c:v>4716</c:v>
                </c:pt>
                <c:pt idx="5">
                  <c:v>4765</c:v>
                </c:pt>
                <c:pt idx="6">
                  <c:v>4834</c:v>
                </c:pt>
                <c:pt idx="7">
                  <c:v>4871</c:v>
                </c:pt>
                <c:pt idx="8">
                  <c:v>4961</c:v>
                </c:pt>
                <c:pt idx="9">
                  <c:v>4994</c:v>
                </c:pt>
                <c:pt idx="10">
                  <c:v>5006</c:v>
                </c:pt>
                <c:pt idx="11">
                  <c:v>5016</c:v>
                </c:pt>
                <c:pt idx="12">
                  <c:v>5056</c:v>
                </c:pt>
                <c:pt idx="13">
                  <c:v>5069</c:v>
                </c:pt>
                <c:pt idx="14">
                  <c:v>5078</c:v>
                </c:pt>
                <c:pt idx="15">
                  <c:v>5079</c:v>
                </c:pt>
                <c:pt idx="16">
                  <c:v>5081</c:v>
                </c:pt>
                <c:pt idx="17">
                  <c:v>5082</c:v>
                </c:pt>
                <c:pt idx="18">
                  <c:v>5086</c:v>
                </c:pt>
                <c:pt idx="19">
                  <c:v>5094</c:v>
                </c:pt>
              </c:strCache>
            </c:strRef>
          </c:cat>
          <c:val>
            <c:numRef>
              <c:f>'O- big spenders'!$H$4:$H$24</c:f>
              <c:numCache>
                <c:formatCode>General</c:formatCode>
                <c:ptCount val="20"/>
                <c:pt idx="0">
                  <c:v>12741.48</c:v>
                </c:pt>
                <c:pt idx="1">
                  <c:v>24571.08</c:v>
                </c:pt>
                <c:pt idx="2">
                  <c:v>15276.58</c:v>
                </c:pt>
                <c:pt idx="3">
                  <c:v>26733.439999999999</c:v>
                </c:pt>
                <c:pt idx="4">
                  <c:v>16240.92</c:v>
                </c:pt>
                <c:pt idx="5">
                  <c:v>24421.95</c:v>
                </c:pt>
                <c:pt idx="6">
                  <c:v>9825.56</c:v>
                </c:pt>
                <c:pt idx="7">
                  <c:v>1098.45</c:v>
                </c:pt>
                <c:pt idx="8">
                  <c:v>13712.15</c:v>
                </c:pt>
                <c:pt idx="9">
                  <c:v>27700.1</c:v>
                </c:pt>
                <c:pt idx="10">
                  <c:v>5997.65</c:v>
                </c:pt>
                <c:pt idx="11">
                  <c:v>3740.73</c:v>
                </c:pt>
                <c:pt idx="12">
                  <c:v>1233.3399999999999</c:v>
                </c:pt>
                <c:pt idx="13">
                  <c:v>4858.8900000000003</c:v>
                </c:pt>
                <c:pt idx="14">
                  <c:v>3556.53</c:v>
                </c:pt>
                <c:pt idx="15">
                  <c:v>3556.53</c:v>
                </c:pt>
                <c:pt idx="16">
                  <c:v>3556.53</c:v>
                </c:pt>
                <c:pt idx="17">
                  <c:v>3556.53</c:v>
                </c:pt>
                <c:pt idx="18">
                  <c:v>4528.68</c:v>
                </c:pt>
                <c:pt idx="19">
                  <c:v>4794.6400000000003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C-C041-9963-3A1018FA0CE7}"/>
            </c:ext>
          </c:extLst>
        </c:ser>
        <c:ser>
          <c:idx val="1"/>
          <c:order val="1"/>
          <c:tx>
            <c:strRef>
              <c:f>'O- big spenders'!$I$3</c:f>
              <c:strCache>
                <c:ptCount val="1"/>
                <c:pt idx="0">
                  <c:v>Sum of sum-sazerac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'O- big spenders'!$G$4:$G$24</c:f>
              <c:strCache>
                <c:ptCount val="20"/>
                <c:pt idx="0">
                  <c:v>4095</c:v>
                </c:pt>
                <c:pt idx="1">
                  <c:v>4503</c:v>
                </c:pt>
                <c:pt idx="2">
                  <c:v>4529</c:v>
                </c:pt>
                <c:pt idx="3">
                  <c:v>4657</c:v>
                </c:pt>
                <c:pt idx="4">
                  <c:v>4716</c:v>
                </c:pt>
                <c:pt idx="5">
                  <c:v>4765</c:v>
                </c:pt>
                <c:pt idx="6">
                  <c:v>4834</c:v>
                </c:pt>
                <c:pt idx="7">
                  <c:v>4871</c:v>
                </c:pt>
                <c:pt idx="8">
                  <c:v>4961</c:v>
                </c:pt>
                <c:pt idx="9">
                  <c:v>4994</c:v>
                </c:pt>
                <c:pt idx="10">
                  <c:v>5006</c:v>
                </c:pt>
                <c:pt idx="11">
                  <c:v>5016</c:v>
                </c:pt>
                <c:pt idx="12">
                  <c:v>5056</c:v>
                </c:pt>
                <c:pt idx="13">
                  <c:v>5069</c:v>
                </c:pt>
                <c:pt idx="14">
                  <c:v>5078</c:v>
                </c:pt>
                <c:pt idx="15">
                  <c:v>5079</c:v>
                </c:pt>
                <c:pt idx="16">
                  <c:v>5081</c:v>
                </c:pt>
                <c:pt idx="17">
                  <c:v>5082</c:v>
                </c:pt>
                <c:pt idx="18">
                  <c:v>5086</c:v>
                </c:pt>
                <c:pt idx="19">
                  <c:v>5094</c:v>
                </c:pt>
              </c:strCache>
            </c:strRef>
          </c:cat>
          <c:val>
            <c:numRef>
              <c:f>'O- big spenders'!$I$4:$I$24</c:f>
              <c:numCache>
                <c:formatCode>General</c:formatCode>
                <c:ptCount val="20"/>
                <c:pt idx="0">
                  <c:v>187.76</c:v>
                </c:pt>
                <c:pt idx="1">
                  <c:v>44.58</c:v>
                </c:pt>
                <c:pt idx="2">
                  <c:v>161.63999999999999</c:v>
                </c:pt>
                <c:pt idx="3">
                  <c:v>156.12</c:v>
                </c:pt>
                <c:pt idx="4">
                  <c:v>80.16</c:v>
                </c:pt>
                <c:pt idx="5">
                  <c:v>22.32</c:v>
                </c:pt>
                <c:pt idx="6">
                  <c:v>44.58</c:v>
                </c:pt>
                <c:pt idx="7">
                  <c:v>164.52</c:v>
                </c:pt>
                <c:pt idx="8">
                  <c:v>96</c:v>
                </c:pt>
                <c:pt idx="9">
                  <c:v>64</c:v>
                </c:pt>
                <c:pt idx="10">
                  <c:v>166.88</c:v>
                </c:pt>
                <c:pt idx="11">
                  <c:v>60</c:v>
                </c:pt>
                <c:pt idx="12">
                  <c:v>89.16</c:v>
                </c:pt>
                <c:pt idx="13">
                  <c:v>104.82</c:v>
                </c:pt>
                <c:pt idx="14">
                  <c:v>104.82</c:v>
                </c:pt>
                <c:pt idx="15">
                  <c:v>104.82</c:v>
                </c:pt>
                <c:pt idx="16">
                  <c:v>104.82</c:v>
                </c:pt>
                <c:pt idx="17">
                  <c:v>104.82</c:v>
                </c:pt>
                <c:pt idx="18">
                  <c:v>44.58</c:v>
                </c:pt>
                <c:pt idx="19">
                  <c:v>104.82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C-C041-9963-3A1018FA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735"/>
        <c:axId val="1109927520"/>
      </c:barChart>
      <c:catAx>
        <c:axId val="109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927520"/>
        <c:crosses val="autoZero"/>
        <c:auto val="1"/>
        <c:lblAlgn val="ctr"/>
        <c:lblOffset val="100"/>
        <c:noMultiLvlLbl val="0"/>
      </c:catAx>
      <c:valAx>
        <c:axId val="11099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5867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41519949548765"/>
          <c:y val="0.10713434514549239"/>
          <c:w val="8.9628434693095643E-2"/>
          <c:h val="0.10341975623647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[Simsek_Iowa_SWOT.xlsx]T-top competetitor!PivotTable24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solidFill>
                  <a:schemeClr val="tx1"/>
                </a:solidFill>
                <a:effectLst/>
              </a:rPr>
              <a:t>Diageo Commands 2x Sazerac's Revenue - Market Leadership Remains the Primary Threat</a:t>
            </a:r>
            <a:r>
              <a:rPr lang="en-US" sz="1600" baseline="0">
                <a:solidFill>
                  <a:schemeClr val="tx1"/>
                </a:solidFill>
              </a:rPr>
              <a:t> 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D63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F87F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BEFF7E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E2578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183F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50DF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8B8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5FFFD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'T-top competetitor'!$E$1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D6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A68-E146-A547-AEA9383769D1}"/>
              </c:ext>
            </c:extLst>
          </c:dPt>
          <c:dPt>
            <c:idx val="1"/>
            <c:bubble3D val="0"/>
            <c:spPr>
              <a:solidFill>
                <a:srgbClr val="FF8B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A68-E146-A547-AEA9383769D1}"/>
              </c:ext>
            </c:extLst>
          </c:dPt>
          <c:dPt>
            <c:idx val="2"/>
            <c:bubble3D val="0"/>
            <c:spPr>
              <a:solidFill>
                <a:srgbClr val="BEFF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68-E146-A547-AEA9383769D1}"/>
              </c:ext>
            </c:extLst>
          </c:dPt>
          <c:dPt>
            <c:idx val="3"/>
            <c:bubble3D val="0"/>
            <c:spPr>
              <a:solidFill>
                <a:srgbClr val="5FFF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A68-E146-A547-AEA9383769D1}"/>
              </c:ext>
            </c:extLst>
          </c:dPt>
          <c:dPt>
            <c:idx val="4"/>
            <c:bubble3D val="0"/>
            <c:spPr>
              <a:solidFill>
                <a:srgbClr val="6F87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68-E146-A547-AEA9383769D1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A68-E146-A547-AEA9383769D1}"/>
              </c:ext>
            </c:extLst>
          </c:dPt>
          <c:dPt>
            <c:idx val="6"/>
            <c:bubble3D val="0"/>
            <c:spPr>
              <a:solidFill>
                <a:srgbClr val="E2578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A68-E146-A547-AEA9383769D1}"/>
              </c:ext>
            </c:extLst>
          </c:dPt>
          <c:dPt>
            <c:idx val="7"/>
            <c:bubble3D val="0"/>
            <c:spPr>
              <a:solidFill>
                <a:srgbClr val="F183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68-E146-A547-AEA9383769D1}"/>
              </c:ext>
            </c:extLst>
          </c:dPt>
          <c:dPt>
            <c:idx val="8"/>
            <c:bubble3D val="0"/>
            <c:spPr>
              <a:solidFill>
                <a:srgbClr val="050D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A68-E146-A547-AEA9383769D1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A68-E146-A547-AEA9383769D1}"/>
              </c:ext>
            </c:extLst>
          </c:dPt>
          <c:cat>
            <c:strRef>
              <c:f>'T-top competetitor'!$D$2:$D$12</c:f>
              <c:strCache>
                <c:ptCount val="10"/>
                <c:pt idx="0">
                  <c:v>Bacardi</c:v>
                </c:pt>
                <c:pt idx="1">
                  <c:v>Brown-forman Corporation</c:v>
                </c:pt>
                <c:pt idx="2">
                  <c:v>Constellation Wine Company Inc.</c:v>
                </c:pt>
                <c:pt idx="3">
                  <c:v>Diageo</c:v>
                </c:pt>
                <c:pt idx="4">
                  <c:v>Jim Beam</c:v>
                </c:pt>
                <c:pt idx="5">
                  <c:v>Luxco-st Louis</c:v>
                </c:pt>
                <c:pt idx="6">
                  <c:v>Pernod Ricard Usa/austin Nichols</c:v>
                </c:pt>
                <c:pt idx="7">
                  <c:v>Phillips Beverage Company</c:v>
                </c:pt>
                <c:pt idx="8">
                  <c:v>Proximo</c:v>
                </c:pt>
                <c:pt idx="9">
                  <c:v>Sazerac</c:v>
                </c:pt>
              </c:strCache>
            </c:strRef>
          </c:cat>
          <c:val>
            <c:numRef>
              <c:f>'T-top competetitor'!$E$2:$E$12</c:f>
              <c:numCache>
                <c:formatCode>General</c:formatCode>
                <c:ptCount val="10"/>
                <c:pt idx="0">
                  <c:v>21225271.219999999</c:v>
                </c:pt>
                <c:pt idx="1">
                  <c:v>25492453.899999999</c:v>
                </c:pt>
                <c:pt idx="2">
                  <c:v>26674158.789999999</c:v>
                </c:pt>
                <c:pt idx="3">
                  <c:v>84255873.620000005</c:v>
                </c:pt>
                <c:pt idx="4">
                  <c:v>31772152.16</c:v>
                </c:pt>
                <c:pt idx="5">
                  <c:v>27244119.390000001</c:v>
                </c:pt>
                <c:pt idx="6">
                  <c:v>28157424.530000001</c:v>
                </c:pt>
                <c:pt idx="7">
                  <c:v>12429757.59</c:v>
                </c:pt>
                <c:pt idx="8">
                  <c:v>11941208.48</c:v>
                </c:pt>
                <c:pt idx="9">
                  <c:v>37309997.75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8-E146-A547-AEA938376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  <cx:nf>_xlchart.v5.4</cx:nf>
      </cx:numDim>
    </cx:data>
  </cx:chartData>
  <cx:chart>
    <cx:title pos="t" align="ctr" overlay="0">
      <cx:tx>
        <cx:txData>
          <cx:v>Big Share of the Total Revenue is Concentrated in High Population Counties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>
                  <a:lumMod val="65000"/>
                  <a:lumOff val="35000"/>
                </a:sysClr>
              </a:solidFill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Big Share of the Total Revenue is Concentrated in High Population Counties</a:t>
          </a:r>
        </a:p>
      </cx:txPr>
    </cx:title>
    <cx:plotArea>
      <cx:plotAreaRegion>
        <cx:series layoutId="regionMap" uniqueId="{6775EF80-DC3A-4F4F-941A-46C96EA32C8A}" formatIdx="1">
          <cx:dataId val="0"/>
          <cx:layoutPr>
            <cx:regionLabelLayout val="none"/>
            <cx:geography projectionType="albers" viewedRegionType="dataOnly" cultureLanguage="en-US" cultureRegion="US" attribution="Powered by Bing">
              <cx:geoCache provider="{E9337A44-BEBE-4D9F-B70C-5C5E7DAFC167}">
                <cx:binary>7H1Zc9tIsvVfcfjle7lkA4V9YnoiGiCp1ZZs2ZbbLwhaorHvO379PQUuIopSX4hDxReIMLujZywy
4aROVVbmyaX+/VD/68FfLdN3deCH2b8e6j/f23ke/+uPP7IHexUss2ngPKRRFv3Kpw9R8Ef065fz
sPrjMV1WTmj9QThe/OPBXqb5qn7/n3/jadYquo4elrkThZ+KVdp8XmWFn2f/8N6zb717iIowp+IW
nvTn+6+hk68e393ly3yVvX+3fAyccOZkeeo85Pyf7y/+ev9uFeZO3nxp4tWf73vvv3/3B/t3HOjz
zofKefEIWZFMOUWUJUUUue4lvH/nR6G1eXuiCVMJP5d5bvO+vP27Py4DyF9E1XL7k+e06XRZPj6m
qyzDF+n+dyvV03v9tf75F+FkkbH+TRkRVf7rXfdt/+gj8Z9/Mz/A92d+sgcW+8v6v97qo0H+fH8b
5fmyWuI/gbP6n3f/CA55LTr8lEiqJovS5rfPM+hIU1USBZmI2haENSw9pd51v7Rm+4lnYCLr5XyA
0/OPeQa33o/YX8ru7x8huncPgPf0qEpEkAj+o3UvlUGVm0qKwgmbdzUN76/3+xrcTqfdL/VFS/AS
qH3xHnLrTdj7EcDsC4wQxMvIDrMoPD2MsswDQ5k8bzr5qSRwPFFFdf0+dv8+jButjgeSfUAPt+eh
ZEVGCOZ9FD3+LNLm1GiSqajJAiGysEOrdxDKU5GTRUHgufWmlfpobtU6Hs6DJwzA80BmhIBer05+
bHJTiiLdmi/tTIEXRI1X+TWWjFMDjY6HcV94AIL7Hx8hePfLeOX70ak3Iz8FegSujfr8CYnNygtE
5kV+DbDIbMa1VseDuPlauwcMAJIVGSGYs6XvL7PTYwmcANTWnVEYb0eccrwicZoorbFmXNm1Ujsk
Xu3uMPIDkGQkRgjk/epnlq/SUyNJEAvyvKyQDVBAqndEilNe1gRV2ZpVIL3v8Gy0Oh5K9gEDsGRF
RgjmVZRlRW6fGkxhysmaqqztJ/4L75QBkwhwX2VNXqPNmNiNVseDyT5gAJisyAjBPAdfkj6eHktB
4XlJ3bg7HEsTkCkP8krhJG0NN97f35hrpY6HkpEfgCQjMUIgPyzTzMZ5eWoowccJsqCK0iZoxLbr
bUsy1XiiEEXYYM2EIVu1jgfz4AkD4DyQGSGg98s0Xb0BRyBIKhxVfuOosjsT9KqkCoKIaKR7MZHI
WqnjwWTkB0DJSIwQyHMYWOfkQJIpdpysYFvugOrtSxynmibinw19wAC5Vup4IBn5AUAyEiME8jaq
VpntrLxT21gQc6okaJvgH3ge2FgJJpYAyh3W+8flTq/j4Tx8xABED4VGCOplFK5OHmLCv+FUIqhk
AykbYiKNokoSp2wRZwj1TqfjweyLDwCyLzBCED8jHWpF/sn9WG4KNxb5SHVjRNnTUpwiJqFs+yYm
YZyfrVrHQ3nwhAFoHsiMENDL5YP3BhkSOLOyRnhF3jizLJ7gaWWiEUnZZFCYGHOj1fFwsg8YgCYr
MkIwZ6vs3YfIeQM7y01VnpNUVX0hHc3DDiPhxZHNwclSeTvFjof06cvtnjEA1WekRgjszf/TU+f0
MQpcV1WhqG3IIHaXSlOZyBqnvBCjbLTawfFqhpZ9wAA8WZERgmkg3ozehD+QJVlU+BfSmOJUBYHL
q9zzqa+NVseDyT5gAJisyAjBpGVQp49SFFT+oDDrKS/Sizi7yi1BhOO7JvVQubUfpVCVjoexJz0A
w97nRwjgbOWjiCs9eSYaiUpV0BRUDuxA6oHIT0VJ0RCL0io7vGB790HcqnU8kAdPGADmgcwIAdUL
VGqGyzfggURZQcGdvNmVbO0WP1U1pDNFfkPoMTmwrVrHA3rwhAGAHsiMENBbvwmiN8iDkamiqryi
iJvcCJsHk6e8IigSrzL2davP8UgePGEAkgcyI0RSL1bh8t03FDSf/MwkUxhaVBKIL3g/0hSHpYo0
2MbVPdidO82Oh3Xv6+0eMgDZ58RGCO7MefCct6i2FKYiivPw74ZLYAvVJcSeeFfclpkwBPxOrx0m
r45TDh8xANZDoRGC+qHIaJdDeHL3CO4P4SROkrbMLMPEow5MRJ2eSDbuEUP47fQ6HtTDRwwA9VBo
hKAu/Kg5OYNLq0pk1Oapyjp1cphaQfSJwveNd6QxBrjT6Xgw++IDgOwLjBDEeycEz/cWSTJhKnAC
0VBmebAn4TAJAjoU1hAzftGTRsfj+MwzBoD5jNQIEf0LNZjB0jt9UbQwBYuHA/LlJJmoSJImSE80
4H4outPreFgPHzEA1UOhEYJ6u7ROfnYiWQYsUXCwsaVsJCqhkohIkrhtaGBMLVXpeCh70gNQ7H1+
hAAa/rLJT99CRGj/HtJfm3DloHAP/hEcIJSVbNgGxv/ZaHU8jOwDBiDJiowQTPTXnh5KuKqShkZM
9YX4REQBkSZLvLLhGZj4pNPpeCD74gNg7AuMEMS/isfi51vAqNCaZ2zLNSHLhpniVBN4VeZVpoZk
o87xCLIPGIAhKzJCFD8s7WXmnZwHQsEP2jJFaevLHFbRoqcaKTBp28rQp903Wh0PJvuAAWCyIiME
8684XoZRlL2FqwNXBnhtbCsbkuAYVURe5hCTdC8mJNnpdTygh48YAOmh0AhB1X3UBr07X1YnL8Ok
HbeCiJjkBVOLklvMNhBhbteBJuP8PCl2PKzPPGMArs9IjRDYy9WvX6v0Daq+4AmBBAJDABeHSXbC
AeJETXmae7AfYe4UOh7Pw0cMgPNQaIRo3i796N1ffn7yVlxhyqOkS9OUFxg9cSqrPPoXUMjXvRi/
aKfX8aAePmIAqIdCIwTVWKFG6N1ZlD6+BawSBsegm5PZpKCJOEz7oSVC3Qtn7f4m3VPpeESfe8gA
TJ8TGyGqX8Dvnb5YSNM4/COxLBB6dpHd5naHKFOSSXU5Hsee9AAAe58fIXKzFdJgxcn7qsHkCbR3
SHghCyaA6VNQRETB3d+LG3WOx499wAAIWZERonhnr/yfJ58fw6P0QJKRnd5weSxxIE0pGysJ6vPe
7Fqp46Fk5AcgyUiMEMgPURiFJzelqKsksiLsxm+xFlVGp59CROSk1w4Pw6uvlToeSEZ+AJCMxAiB
vG5OT+TRehFF5MDIbl6Mn0PrupDugu+69nOY6JKqdDyIPekBEPY+P0IA9Qhtfaf2abARJUymlJQX
GHUBrI+mybLCtA11yhyPXV98AHh9gRGi92H5iNGaJy+V5adobEf1jvLCiUgH/wgChsVsRhkwMG60
Oh5I9gEDoGRFxgim4/snb7CldViygNTVC0WyEjxUmtlSnh8W84Hq9F8A2RMfAmNPYIQgIsmaeic3
qEARxQLibsQh66IizoC9pR186yOTSVGulToeRkZ+AI6MxAiBPC+Cn2iUPvkIWVSt02pYDV3t3Yvt
2cMoLrg2nLgdCcT0lWzVOh7MgycMgPNAZoSAYtTNmxQPCIRDD+Y2HcmWTYKERVk7KIDnE1xrpY4H
k5EfACUjMUIgF8tmlecnt7FkiqY9wpFtGQibqkR/EO3YE+VNXMKkKjdaHQ8l+4ABWLIiIwTzy7Lx
ozfg5RBccDgRX0hQijDCqE0H2OvzkqHn1kodDyUjPwBJRmKEQH5w8gfQcycfq4ashoqydGU7u5Il
dVBBgBldT5V4jOuzVet4MA+eMADOA5kRAnqfOpb9Fu6PgGCDbEerP+PJCjhN5W1hJeP+rJU6HkxG
fgCUjMQIgfzrcemc3MKCIkBqSpa2t48curGofEUzLW1C2M98dMocj19ffAB8fYERoodpcOnbcDwo
0AHJum27Y+0qiAH0Q2Mq8Gb+IcOybtU6HsqDJwxA80BmhIAu0mXo+c7JSTsEluDNaf6D4ctpXQDI
dAxz2kWc+ztyq8/xSB48YQCSBzIjRNIAim/QWoBAA9PzMX10mwBh8OTAEHCYu47JwN2LYV83Wh0P
J/uAAWiyImMEc5m9AfmKJhA68+4p4dgrq0OjDwbsE0w3XCPJ+K4GVPovYNyXHoLh/udHCOD5MnyI
Hk5e60rHw6KCDttxZz17GApTGZyAgnr09fsMLbDR6ngY2QcMQJIVGSGYxtK3cWHc6ROTAgqtUDr3
QmoZJZHIfMH8bngB1rSutToezM3X2j1gAJisyAjBPEtXqzdJMvMSpsOKG6zYcki0bWE2DO2kXIPN
YLlWaofE2iN6xQ17jPwAJBmJEQJ5uczi019OgvorZEMUDXeuda9D/5VDlTKyJk9A7/uva6WOB5KR
HwAkIzFCIK+Lh7e4LoiWX0nIba1xZAl01PXInKYKZGN9mQ3Z6XQ8jH3xASj2BUYI4hlmamGq6KnP
SGxHSrZKMssIiLhEiKDSVWCA2+hxPHTsAwaAx4qMED4U/6XRG6CHTYgWAAzT6l4siKDLMU2dF9DO
070YWmet1PFQMvIDkGQkRgikgVumf6HT49QbEVV09JJSeKxrqNhzEXXJIioFcOfM+n1mW27VOh7M
gycMgPNAZoSAXjy+QWmyIEpAc8+H6UWR0hSDf2kVwcZZZZgAaHQ8jPvCAxDc//gIwTvHbd5opnuD
0BENr2iuEjbeDZvwQE0r7vGS0BS7NryMYd2qdTyMB08YgOWBzAgB1eHsvwWcPIZ+oIvuBZKV9hIo
GO6L2p3uxdA6a6WOB5ORHwAlIzFCII3V4/IN8pBd5SpG160PQTbowMUGtH4A5ZO79/eDx06n42Hs
iw9AsS8wQhD1IvdPTwHQ3BVI1F3Gg62iw/uaxAvbmkl22PZaqeNhZOQH4MhIjBHIdBW8CZC4FIaX
5M2gAJaUw+QIMAQ4SZneK73T5r9AsC8/BMG+xAgRNGxM7F1my+rUgQdSHpgmqGEqL5N5xFwPTkXN
xwuTsHYKHY/j4SMGQHkoNEI0z9IifDx5byu9/JAXcUQeIImrnVD+sb1Kj4k31socDyMjPwBDRmKE
AN45UVG/wVZEqxVyj9v6cgZHtLRKoOuUrZvKmNVOp+Nh7IsPQLEvMEIQbyP/5BlkemmlihsO4YV2
r8PIUSboPVe0TT0HUzFHVToewp70AAR7nx8hgPdR+hY3rmOUJ8rJkb/oXiwThworxP5PUyCY2L/T
6XgI++IDMOwLjBBEFG0GJy/G4aZ0wicKNTYgss4NegIwawXXaz3fE9DpdDyIffEBIPYFRgjit2X4
Ti/S0996h6Er4EmRRGS3IY8OHqIoGPG53qaMU7NT6HgUDx8xAMlDoRGiebd8OLVvg1iQEE7FSNY1
xcbGihjYqmo01ni+gAMaHQ/kvvAACPc/PkLwrnHXwKnRw2bDeAcM290QpCx6SCPLGppYcYla90Ii
cp94oyodD19PegB+vc+PEMD7ZWbj5uY34MG7ebviP11zJ6NynNDxSN2LcU6fFDsezGeeMQDSZ6TG
CCy9BeTn0nqDKYEEgT/23yZ5zHo7KFsVACscojWurMu61eu/gPXgEUNQPRAaIai30cPSjsL89CVW
4MEFNFVtSxopi9pLI6N+VUbXzo6gY3brk2LHw/rMMwbg+ozUCIE9X4XpySk6xCW49xdzd19ILIM+
QI0r0lebuISZA9npdDycffEBSPYFRgjiTfawivyTV3igupGjrg5uXtr6O72tiX46FIDAYdokIhmm
bqPV8UCyDxgAJSsyQjDv8uj0O5IWXmEWBDKO67PxkLATJUKU3QA6pvCq0+l4IPviA2DsC4wQxPtl
c/r2ALAEoOTQWQV0ehsR16OBIABJsCk3Zz0fqszx6HXfZSc+AL2+wAjRWyCRCmfn1PElvSRLliXc
V7cLPHowSpjaKoNX386owybdjy83Wu2QWL/3iv4O9gEDoGRFRggmqnFzK0JhwMndHIwwA0eOQR0s
a4ebfdESwGvYq92L2Y9PGh2P5TPPGADnM1IjRHRW/CyS4uR15phOTi9/JdsrQNj4kkMkAj4dtejr
7cuckRutjoeUfcAAPFmREYJ5HRVOdnLXFTVymPUA6px1dPCGqnAYjL3p2GE5vE6b4zFcf5ud/AAI
GYkRIni1irziDVLMmHqNa12VpxRy77AkGAEBb1bdVkkymZG1UjsgXn1WMvIDgGQkRgjkPAhWJ3d6
aBAJpASVPSRFzITA/twWXnEMgJ0yx+PXFx8AX19ghOhhPunJPRyMesS8I/ikT9fw9jYh7rlHkSu9
7WP9YhgAqtLxEPakByDY+/wIAZwtS+cNSgQwVgV+C7o4uhdLryJj2QEsb0oIGFe10+l4CPviAzDs
C4wQRMNepdEbXJhNy8k1wAg0uxfrnEqgVOGavnSJ5Fat46E8eMIANA9k/n8A+sdD/S9rFV0jg5Fj
Wu6nApHg51VW+Hn2n3+v35st8+U8zJ28GfzuC6KbgP3ZoHzz3sXjn+/BwiHpIYD3/mP/Qb1w/+4h
yvMtA9AXWi2z/M/3E40D7yMgW42pdSInE+zdarV9B9S6ijkS8HNRqKfCDQ5pGdmf70V+inoSOpyA
EEFG9x7eyiL0XXdvYUQ+ruhWBFAQlIp4v9UONXSNFYW739jmz+/CIriNMDIqw3eSccLH689RdSUO
xDEdtSZoGNOl4P/jhI8flp+R9aUf/5+JVwRWhuTOpWcVUYv+g1D5intrvEsiOJKjo5Mpn1ttYV9X
JsfNHdLKhhebghGYeX5ZTOLJgvM5bkGUJr/3TU6aeU1r3gRFnCzEKJdvTbWRPqiqk8+Jz1kXVlwE
l7avOr/swE7O8P1qw5nk1lxRcofT4ySOrlMt4ReqFRV6WhNtXgWJbXht+qP2eVN3lCCYlbXDGZPM
+egL9S/X0f7mJiQ0/DYNdDOIFV21uZnkROeu5p+1sXdGzNjTYxGK8H6iyxPNOuPCtl4EMjmbCMVV
qUmL2MpdIxWKwLCt9m879y4UJ7yf+OHcJtqdn5c3WRllZzwRz1vf/BW61llspr8Kq2r12syKszTO
ryZC+T0qqsgoQ+VzJNfpjNiJo3um/ahp+WVW5NdaXUMgELOFENRzzspvkkhrdEf1vst8tqjz+keY
FonBu+m9P2kcPUikxSRwLwrBPs8mmVEnETE8SyRzeSKqusDHXwtTVY2mUc+UMpqTqp6FrTiTzfZT
UNe2XpnWnRxr89wxI73hwk9uZi8Ts7i0Us/TRSFzdc8KZUNJRUuPU/8Lll+kK6VlztxS1vSaL5cT
F3BoE+4HmkkfAmJ6eq3lt2LlxWe263/KufhG8cWfmZh+dEJtQXjzInK5syjnf4a2eFaV5Ze2URey
zX2zizQzitq8NMPC4JP4sy1PVj5+hUZaFpyOQjlR11rlh6lWArAKQ12JVVOXHetcaMxPAR99ESzx
K1ek8kzK7IvQUU3DiSZXpAmk6jzn2yy/i/hJ7l5olt0I51lqCl/CJGsfu62+sUW93fQQxU03l3S9
uXZ//M+XKMC//6YyTz+kFuvpT2er6OMyWGXsh3oyeO7m76V2rveHA6O33e/PWsQX3nyNzcMVqv9k
854uMz0wfJ3k1vAhnSGLPK+gPpW1fGBxcIs9ofPLFVQLiPj7tpaPgF8lyGXJEoHDisEdT5YP0SQG
mhPw66ANOlO6/bI9rHCOPGP5qOHtGz6CdDYu/MHECXonDAHJsG/4otDxlVTgkyvO4TVvJtpcLdxq
qlTm32wlcwO94Ks6OIsVWE/d8c1mEQqesODMIHRmaZn4nG4qTWFkMKwrvnaFG9iIvI51mKKinYeT
zFyFgZkR3SyTas7ZuWvPStspFhpXF6oh5Il6bkW8xc3skk+zxe/FSQ9kzMj6p8W5IdsOV2Z3/fru
SBYVOr1AllBjhKvb8cTtmQzqCXcIa2CFN4f13rqEW4eBbCLGe4NgxHLansh0XdIRMxi4pxK0amuv
OZGlw3UpChiPik2BRihsEnpg7x3Iue2QHPG4fVUqlXNW4Io4bq7VoGG+2ZPiQXOEWC/jSfBBiXNV
57P6us6CPDTyuvziS1KwiLPQh1ltUl1OcsXT7SIRPmI0svrdaTR+Jkq5rZdJkuuKmqoz0Xf5BVGz
Sjdl8jnwHeGGS6KVnLh4rwibmVnEvOHmAvcxygru0tLKVOfTgL9ISSnO6lLhjLYwg7lmRZyh5Wbj
GXLmB/lcqRpSGVphTT5ZeWmpN0IqWGSmlGF+G07q8soPYlPVo5rzRYM3yVmSWf7EsF0u4s+cSqmz
Wei0gXBTh3Xh3JR8zNu6FjTc+e+N0m0UDSvrZc913fh0uE+o1JMFlwRBQiklxyHrvO+6olUPlpsW
emGqHd0p+wZcQmvQk6Hec10pHahhFAWW7Pp5r7DfPLXPPce1K5pHYgeHDParyOyTslXcDK5OduVy
Zll982K7MFLRce61rGireVlVkWbpTmda7c7MtqWjnpud8W25qFg4qapFcJUCKfhqZjAIPwPVcc7q
KsglYyLG6bWola0b678XXBcqkX90G5DWwt2LBwtOpFLbBYfkKkpCackRZuuvw56tYZanAu7eA9eM
yTOiKAl7wRKWFY+IW8Ga6gwwFuPWNGOmrYzRUQhsZJAn6A9+jWlWoVl/ydErVXA7GUqPBeqa0CW5
Z5q5nG/ijHfEK+4Hl6d1dJ3x2mNuqRPpC5/IROecypmnk5x3r/xsIrbzxkvMc1JmtWSIhRZ5+qTB
sA9Jb61cvOWF2NXdoDn3Sy+cm7WjT2Ti62nBw+O15XguSmlhEMtsF8HEDBdhUTjz1uTUedJy6SJy
m8nn2mwEQ/WxjG2fmDPoo1wJTiXpXpmoMyHU+DNXCVrd8exsgSjEm8lBwi2CyJdmkuVxuqbFzSwT
MmEhwAfR3US7F7NaRyVDogcmKQ3Ry69JYKa6Ijn3jpd/IrhGyPACXjaavCn10pQjvYqgLXG+cjWX
n5mhautB5METEtPbQJ58KwM1OieK3S5kzRVngjv5lmfNQ2XbkzOSleUsrZu/60b8xBdls7DN6kfF
WY9lHLjXnGkJejbxv6mFF34sSk9FLCElRmF7qn3beu6P2LQntvB7j3Z0hkCvPnz5UNi7L/tgo3ai
241K7T/aeDd0FtyhJw8KuQTU38OJQjah89Ofjgb0q+FCW+pzY9wpHfP+tFFxCw6ngAoB7SF3W/81
G5U/8KGwPtFijBJyHBL07+pv1Lw1hbyQsurKDnLNMUipNPK8Con6I7ULp1lmWlrMzAwzrq7VOnGW
dShMGk4ntZTPvNB0HtzUb+W/zSYkziJo5NBxjdpNwW78Pgq6o4DHafzyMrterQ6WFxjup3MAXjh4
FJTCcaKiStRs7znoCjDlMVmF/pz6JFsPncMkJAEBpcRDEl2RsM7bYwAcnAIqT0WtK68i9FRetboI
XT491wNekbieCoICWoQSzPJSSRFaiqteqnVQXxGO5y7DMP7FOaKvw/cQ9VjOlesChJ6RhEkzsxQy
yzSTnwUin10ERDR1D761odoubHMkaeHCS2phIdWW9i1HCHyj5vl9kam3Tpl/aotYMgrOF364Nl46
J8ftdW4lYKrECrGlXmmeMsdgvup7qqjmZYWs+4zE/MRdWJz4UyzT/Jq3GltP49I3PCcPZr5ktgZv
e9asStTrckK4S1sJrxSLnMeRdV8LZmwIcW0alpD94DnnJmlrZxGq2V0Z8itJqEzDzINFRbmvUtXc
y6Qq4MSXVWK0cZJ+yFKu1j27bnQffZF66cuIOazojogWrzcyQgjLK5yZG5Ns7nu5oytZFoHA4gJD
lmJBb0spm0eumRhJUGcLN/fFOceHtlGXBaHkUjkv02rlBWJl3Ym+nAbXLR9OvqhtxUmfEsLpEk7Q
eUF8cFspxwd6lJriea65X8PUUeZCIzd3uVhVj5Uv3cdWEM4qv2nmpel9FnNH0kHh8V9Sq+R1H/eN
3AZZERtS4nHzhJOSM8eRhcuqVD40sRzqSRq0izRxz0TP9vVEnJRGkTgXIimkM95qwUaWYnTeFvmq
DOVCj1pVNiTH+eiBTtQ53/HOfVGoDUm1AyNz/Xkk8JnuR81Cq1zF+G1wumBH5f7J4GzuCTgwOiAB
nowO7jdAszWibhxBa19xZ3RgWkDU08tMEW7wKBp7sjpguWANMKEUdwtJYLt6zqeCizE0kExoWeus
2GviHZky8X2rgxS9gll9MHK4Fl5hmPrSc0nbBpl2iaglwTqTPgSTzNMb8NsTLzzT8vhcAe8dOLmi
gy4P9JaS4g7YcQ8suQm2PCH2jzStJzNVEQNZhzsYn2t8on2J2yr9WVuBetbyzqcij8BUKRNFDxz5
ezKJrRte9VLDcrTqImmbn2HiSHOL0+T7zGtEI/EU9Qr0wawSEudj5SS1UeZxeMvVXjAv7Mkjlwjp
LKriK40rsLmDSTuvzEmwyCzxNueCaKk6mZTd8lrsiCvJrYXsskqbRjEwcTRpL13FDD85hSdYRtqU
AlzJyrT/tuPCME0pueE72tcGARxQJlgEJdxSbpiAJPZBFhOQxo1onsmURZYon6xRZlkFxZwVlqQn
lHX2KP/st86vOE8/ayCmcxDUmlRmRpKRb6WkLWpQ2EoinVW2+LPK+DMBFLdTmIsUlHcoyz8LUOC5
G34S2zQ+q0COwyH34EiTB7sWfihVWugVJdIzU9Nlyq3DcYn0vA6/IFdg6S5l4C2hdGGqQiQrQM87
oOlr0PUZ5e0lEPiV496ZOWfrMN+f0kaaCaD6J1U8r0H95zQHoGjpV4lmBTjPJPOKZgq4IDNypA5a
zrvwkUrwaE6BQ3Ih5ZvEqJBucJR8YSP90MhWS0OTGyVq5ppoZguV5irA6V+rSF64SGLwNJsRWYCz
QIIjpJmO1m++J0h9VDQHQvIMBxrSIq5qLsJU+QWK69zjyuzMQwLFQiLFREKlFLx7CwkWC4kWQWsC
I6K5F9dTFpZYXBFXPGtpdkaieZrf9m/tcMHuvOxwXUUZUkv2gf1DS9eT/RPQWcvh5qXOo0HKcc+n
F6fgV8CygG1h+XoBBZn0shE4RITeA8z69EhToh5Tg43UxFd5XdSp6pk/XCSEO6Nl2Gdc8o5cZd/p
4qUKFW5E4q6qBA7PQuTyoPpe5UT1dMu205nk2Y2EgDoTSuLpbqtV7bwt/cy59lItKOe1qpHwtijd
cFZjWBhOaoQI6VWZF7V1q1hcSWYBX6X8B5t4Fefpvxded/DSY+rlhbeer3aw7gQqtY0lcYKCRKRr
CDNOewnyLk0Ed5/jUVOxJiC3zn4XL/KgM5DBRqacEpBbZ59mkFDWDWdfQysNPZFfcewSOAT9ZYc0
ERIF4PZlTA2As99fdh6oqNb10uQKrmZr2Hkh3BSu75AbOOuVtXD51l/krSpd285kUSO/Pm9B1ghY
lFXbtvM0j+Eoa0ESLJIsJu1cTpQrDvQGfxN0ySHkyMyV6yRlO3fQWGL6vxfeujBDROj38sL7GqKM
5GDdgTh8WncivQUJjTo0gKPmDm9tyUbYO7DbaGhdr8ftokNYitoeEOJYVbTMpxdhgrtAwTIWShea
vopo5A+IRtohjeAXjSg0lpVgVPeJRivUSl8pnfSqABvoGW7hVtycqyqpnQdy7F4TO5Mnf+dWplZ3
eV7lxcyxG+Vakewqu9Byvpy3cRlMFmYWenAEE19VJ3//NmjdSUotwMvran2N9eHColJPBg22B3lF
ejkT6acX0QRGVPQmPMNio9+WwxxnEBQoBVynVLYWDesOPIPIKbj4EvQZLkJ4hUU7TJygAg1Jb3TF
gMQGX8JYNNtMC9lDDHEVplqcfYyaSVahfsL27jgujrjvXkzXHJLjnhTrNfix60htguyn40YSmTUO
VtQnEsrlYkKKn1KW4ZwVzDB2vvPhfSNqxYNVc9pvomzNx6o4uF5ebbOl7y+zg9UGe/W02gTMqOUw
qY9WMsAu0dj0yYwRLCbq1HXx7D5Z1iVGRASREunKKfbcNroQBZyqkiBusuOvWG2Emqqe24Z5EAQB
soZiNaxuGnDvmzLB9MUgisv8qg2U9ovrmKE7V2FJuXnUhvKVnCmZ9h2ssfejEhXlRmqtptGj2K7E
H0GDkiY9Ilbazj1SW7EhO7JzIxS56+tmVprSt6BqnUcrU2J+kUqpeyWqtVbNU8mJJ9bvg3R9kHKg
N19egutLhw6WIIzR0xJE3WvnkqMpUupo2aclCIMHTwy3LtNrBqh798ScdEuwG7KEM1Wl4cHOhaNL
EEwH7qFAoq1L9r1mCVKDxizBbsgzlKCtYTylc/fSdlZut77Fk+QqKb08+GR3dkyqEC9k+qTKLFU3
Y+rGWS4R9aAQ1PK7HQdf3ULh71rTLD4GkZLGOmgL7SJyvMyzjVRtJcGoQrs+d9tMbhaeInk3dkDS
H0IoTdrvqufK55ltx5+syAMj+PvwXUcTwO7ltbieRX+wFlEh+7QW6S2mtHAGgayG+2iUPa+O1ukg
y4TpXrjEFNd+wVRtPTv61u7H1E4+Hb2YE4buCThk6yLd/+7oFdAOhTwEmtuwspHf6K9Ero1sn5MK
/0oqtcw0GtOr1OuI552fNheW5kcNBbWzXBOSCbgxUuUXWZia7hn8vtYzzK42reBll1sUZhLPRDLR
xPtJE4rhlRt5YXEetWXWzFDtxrvL3yuuc/dowfPLK+42wllqOyvvYNGJVPDJ40NloohxKYIAnhhR
wJMBhG0EnUyvC6T+Vq/UkRpAzA1UUNRAqwn2E1adM4hVglWqYv4n+S9jWHpnOvJidJyviPQXcwbX
vqjGCGjCqyws6gSZGXOi5AhQUbp47li1ZC8SQdPNVvL971i0yk+l8rybFrn6dLauZhR9pzRrXRJ9
bd5QkzgJSv7OgpUs1Fguv08cmE6ts6JmjGf/Xnzd4uOwUF5efBdRhV267op86i2gMtt1hxVEFExi
VlXM2l5nQ7e+X2fsRBl9QyKdH0tP162x+z/WHUaQKAIuYKfPfFUYi1XKHLzw+ZDM51E0IxK0MdCD
ee/g9SdRS1LC+1fIlZrBN1t2tftEyCTzMmlzJ7yoBC5BxrAppNtcye+bpuDqeUqLY1C1n/iGGkzU
762Yuh9zy4G9NDvDFqV12sy8zuBh97g3jlIoP80WubPvMdax3a3o3yuwW4EiDsGXV2A3V/twCVKh
7RKUpnDdQNytw4jOwdsuQXlKr2RADAHyGPQvtW/bJUgrQRB8ghbmwRx3FbjbE5cye3gDxyPIFoK6
rVeduLRUoO/8oZqM1iOCvUaw23E2+2vQUydNUErEvi490S8RbwWV/9FMc0/42yWRGF20WFnqjcmj
7PQqkETNQ/Qh83O7RIB/nlvaJDdMO1YmCzezwhYRh9n4vzg3v4o98hUnQqSHgXZlW0JgCEL9SZg4
d16gPJC2vIjN4DqoFOcyl5Sb1CQ+kkjBt8QxiwvOtM8s23X1uBWWTqmdl1HxMRSFWzlHVZgoWbyB
beDNyqa9FrjiC+fkrWFG/sxzg59ClC609jLUCKJ3IdeJKd+k3MTwazHXvZykhqbE54EtXeMm21mB
7eQK1UdOts8cnixR3xXqnhTdhEpyHmWcbWSm/cFS2y+8VJ67bnMeFcJHd4KKgdblCl0ugnM34i7F
JryU8vKDrxUfiMlfN5VAkFyPUeelIGEIO3WVTIpPSqXMiUcu4jybT2TuU1CUhpq6H2oVRQC2Y5e6
3+b3QsWfK5K54idVih/4Z7hz8kyNJF2yct8QovB7HntfAy5OzysznZuulM7BN/iGrDn4jmbwOQ1l
QY+C9LwNC8ewTO1eLrMVvsJlUqo5elVcZ0Yc4XOTTubIRF2WSi7poe/HM0Ayk/yLGN+t8ax6Lnkc
nauH3zV3Z6n1ncXb50Wj6VmlXCB1Pzcn5Mxy6rM4SRq9rfxgNvGUvzkeIaYiaJ+L2Lk322ShKs2n
rAnugyh9aIvyIiG8MysqVDeUbjBz/eACxdBXdinfwAKbZ6nMnctOeBtayVfRE28yd/JzQn9HsiXc
/LZenfWibMPL1gtcHTKkvn9owKjc1oBRBw22CAR/Z6T2fTdYKcxsghVCm9661W5nwGjNKehj5PXX
1QIwO1sD1h2vuMELYlASMe+rDNiB/cLBqaLHREKCBNOnJSZk4AUX4SVnJVckV7WLosizWC+C2Auu
XfQ8GU4GyuUuwjq+CkvevvdpGbRdm14g6fR2KleXQrsQDKUKxYsGeXHT1JMueA3XkezvlUZXmkCJ
i5dX2l/FY/HzmXxDJ7ZdaBj0jpYT1D2igrhLODwFCdIU7j8YD7hrm0zE/7L3Jb1tK2m7f+Xb3RUP
OBSn5UdqtGzHiR1n2BDOicOhWCyyOPPX36dKViRZtgHds7sQGmigO2COu/3WOz7DrlDKYAKSEk7U
6roqBRj2cYaYAOIN3BPA9GHlcFacnZxX5ZnLlJwsEwO0AsYc1kmWCOpkQztsojSNrIUZDVEWJEVp
dI9aY9WAWkTWV4YyexuNMbPv+ynKnUDvAfZdCzgjfipNLfmVk9LOvkejUU6Bxu3ii+/yzgp55HXt
Okljm/++BNw2teEX9H7Affo/ASyY3zhwSRrbLuBg1CqdB+BvZqKPUjfSXWuGrg3YGXRtiB3s2Q5X
IbI1wwyrY2eHfKP+aBdxsjWTMhLoos6fSk/vEFjv4acDkQRnORNj5fF00MTIUa7Lo41XakOaBDHv
YpTUyZvCzAGaZW6xkaANEpnRbLKiBtZpkmsPa3DN61bU48+0ZK0fNFhnu+umtgsTXNdcN+a5auNw
g0FLN6r27hJ0KsvZHwYdrCFScVJM4RK0DzmCignENQqWAnjLdLULuTfS3z7Jvc5kB0kOUwD21DAb
Av7O/M+nL8zKFpKwTKeQYsAofZjkplrTkjjDMaKcmmFj2DUPqsS8ybW41n722TBOc26QfIXXUfTz
ONKcKA1yMYp8M+Zpv7KK2sv7gLteAsyqX6UidItYs8JJBy5r3gxmM809nDziSwe3PT5YHy589/LN
J2GHkfIw7AiBNwfWunJnppZs+7ADakmCj3Cel9kMdXwXdiqdQXYFg6Hs+vZZDucIIDdN8Ix0/LXn
gcVlf3Z0fMBJjgAeSrDqQxv5+toa5aVBo8E20J5p9BdA2dPvnmnxU2F1jf7Ti7MaNKFucBZ62t4m
WdcDTE3cMV6J1I5ZEriR5y/HROJDKndI/bAWee4tfYZlX2hb3BOAA3ZTla782sBu75LpVKaTv4f3
y6uySz0JOQhu7ENOQYKBpEcYy+OVXG7sQs6A+R2u9ejoXnBL+5CDewVBh+VicEDdsyTxfRd2WPmC
sAJ1Q6xE1F95Vjt3MjZIsVn8A+QGBupPcml4mOmyogD/ORfaFUDLV9boGdOPFIBZs67TH7UC0Rr1
ZEyfjDjCqSQg2tg2qwY8r6+FkU70Z62lpeRG9qIMB0OQ4d4X83rEjHF7ibBthH04m4ZPQvA3RlNL
iiHuGjjI6ptSaBZnS1+urvBHuxiTE4OJJsxSTidHZwU1mhKpoCjhAEepTY2mYPQSzJSO5NH8txgz
CRbPUsjBx9XXUXTJg/WugVlUY6WYNrqX+UhGkEL5bNLELq5FambpY+u3+VXVdFnzB/Rz7NFS3puP
bWE72sb242LDkqiIvmosmZrrSU0SMdMBTHcgrFB8v8SZGhSsDyfTu3xkUjjoJJmhA9oHmlziArrr
vogNHULhHBh2YNOJwVS2TupKf1Q/Qdr7G5/7ZAbkJjYqgP3a4Pdiej2zhsoD1VERRSaVQzj0ksCP
BUHwOJtZI3cwhPYeQJhd9cfV8nG4Moy6t2ZlzYU+L5nQl1Stc5njJ9YPpta8mZNnHSD02dee+H3Q
14kZUJpdJxNJQyBN1mmRLYRW3E0ZtoC624LwkD4CYjMvM2DwaQuiKQeIfqabFYUOz/QYc3cD1Ps1
y40nMXlXg2bPOj++j5J83hlFFKJ23406n6ERXBidlwV6Qx5JOpEAe+Y8cHlz2xf6Zz4YYaWJL2NU
3kNVYpEn0Zz3OuSCTHat9+3PNm43jdldGb257p14hSd2y1pmBUPT/3QZ1oQjZZ+niNwJaC3gCIN1
LPla+vEdS+rvUe/VEoY/6zQdDOLuM+X8btLowgENKfALh4DfUN3nFagAlp3dD6ZYVD3ZNLF14+aQ
YqD6V93kIEk4ySOtnbnVuI9aYc/tyHqcqukmT8lnl0UznC/vTF8UK4dl/+aQdxCW/cUQYzH3qmwR
OcY1wDobGjdG0OtGBla96wdsoldl38eBqPybwe+GAPDrIkxsfTZSshgEw8p0MOPAzI1kTg3xJzZA
FmF+OPqlvALRVSHsxTQk4G0YEB/qhvXg5bf1UN3ELg9jG9NkB5oEuv0/XVvMkgg0rVSvNlZf3ZOq
/8YjNhOl2QRVMac1C0rv2R/ozzSevuPoKTfBWMLTNPpe2RG0KMwxGMYmC5qUfk+Yd1PV1a/Js/p5
5HZfGPWvndhdOmDMzOOkXFLNNcGNZr810a1o1BKU0Qy/jrxaodkzZx6Y4WHss8+RhRW7Ho13ica7
oHbqTdLq4K2M5cYu8d+UTOPz0qpxMYDmjWPftsB/DnVZhpMJaiGJUgPXsoYGnTYYQTRk85qnZpBO
PW+/5HXexuuGmT0N69zszevUqtmTyImZry+pVZVwSWZ4v0lcgIOHbdWr+yz8q/d5FWkQ1/YtZ+II
FSD50yiZUH4DlWuLfdplVexfAJUy4PKAba+EqRxmVcBX0Buip1NLm7NQAW+AjGE5CUweFGvAaQPg
+DiplpYwy6rLoX5GWE5mRpIMdNF3xaiHI6km56ahfSfWqVuP5rWWoUQ8eRHPjIfYLbyfbUUGZw7W
rV4/ge01F77TZw+XwNrWbLTj7wfWHTQFn/on/BtLn08CDMTjfYBB2xXnUzDtdhyJfYcIi2ZEDzgQ
CCSlt3I4hWDX6+HIiibghc64n0JwuTDA2cESUMm+nNMhenKFd1S3TRvO7aYB+DJmc1wyjkOs95lb
sTge0e65FhKz12nTvRcPlQH0J26ETd3iFgqehDOWQZYP0PcrPLu4j7XUvbFbS4xakBa8XemR66/c
phxmnZ4Vgee6X+xS02Zug3ui6aX9tyqt7LkVg0+tJ1q/bF2nD512GMMmjsUsJhNKuZUNi8Hhvz0r
RskdwJNMQFkMiQNunua5ZVjUpJ8bSf6lj1gWxA5OjXHX0buizW8AuboqTDIGRVFb11PW+tetjrML
Lo752ipIvhwKEc/1dHye8p4vHas376CtZ81SRrurdiDfqoIuppH28xJ79cCmOGeiM3jAPiBIefzD
FpN7lREvmYFCKIIMUkhfTFH921Hj+0g6967X/CKEik0R5A54eFlqQEnQ63joxWbTBN2k1wuMEk3o
RbQKJpreMp22uPfEDEI4mrMq3CQJ7TiNQ0hF1RouqqPgn7upzKE+wp3cqVfCyMfyUiC22yuZnN9/
x9+kqdw76DH55W7Mg2Xl2+wnEE1AKgb6a6cBuq8RUu8G2vnEhAA7Fl77GoHKIiWZpEmmXDBgL3EO
dBYzwasHjGWFDRQ5KhEmPIXuPhjx8s4zRCMKsdGqsqyXkRU1HlCKKcENPCM5aKkgDEOi0rMF5DB1
+3fEqekG1UAhPzZmOkRAy56j+coLc5ZoEZi/VW65TQ3QRAacWAWJDUiWxdQHA7drxk+FFnf6nKWZ
k8xGotkUFRi/gRftxLtt8nkl0vjqP/5/qtmI8v1+KP4veATsCZLHJ+UEC4TDSATDHD2GoUNjFujZ
o6UWiE0QscUwKMU15ML0KBoBRENAYrcO8t1xNGL3iWjE4RPbrbNulKdYHji2EJwngaHFYUvXX42B
Q8c5STTgGBtqtDdlNRbXtqjTmWXF/JOT+vyWdL43y4qR/OhMfQzNin1nzCML8KKrPnAsx/4clz5Z
VFVyU9ralz6rf1l1+6N0Ww09vjl+M9oEU9uYOfY3vW1jH0R7o5x7TWzcuklt3faaWADyxiC+GhdX
clMbuqm9KqskX2mArzl6pge5VWJCs4bInXENwn1kKmd643pBQvppmec6lJaYToLIx/+EMdO6/HOZ
6K72w1ZvpuKJCCAXhZfE5ZvSxypeEvXSBGN4dYOdW2yGuqvb34AeWGcmKt2fy0tRXb3sUt5/KbP0
X5oW9VvHfPnhLmfDJBpdEuAdUKN9uZLuV3MnZ9fjl4J1nvQ2wXM6ytuYBNDbm9vT6nkikm8IIOEZ
YltiS/AIwvpVbz9WiR1njXA3ngEk2QQUU2B7gz7cYPbvlq1IjQyysxFG8BS+9XE4OZ1/BdlGy1kN
XDIHQfjg+k0uGh6IRBf2sil73afhJca2Mfbh5BiKp/4PFyhdr4dHueLdhZhc8UJ7ESrgf6kz+xBz
cKACqHZb/Q+RlXL7KzXmgTOBqC1ibJ+MFZZEtvcvF6//1hjgcCCd7iDUC/zma05NE5VtURuZBVgS
FlA/Yzuup7sqjtLVVFp6A/Gjooq+5lpZbMw6q6IHWmRGFRSQobMoaZN121SN/rXOZRMxSd28UjdN
JDaAEh4EZPWoZXT8uurLDprVkR341YjGgOiMxJcg3HanJn737ye6FxfOkxjExfMwBpE/EIH+C7Ph
oCGQEBIgSHQYj2J3fHSBUJoQKPiA9m6hv/sYlOgSG52FTHW4mqGNOCMKjZMrFwZLkB/BL0R/AVE5
+ecH7Wk98QYbTuJvpiK3ri1jqvSbUeUvo7Xa5y52yk+1m0b/Qn2Ftps2asivypks8X3IpzFbOtD8
Lm4GbkIZJ6gVjgTML4kpkfCSS65Tywz5W3k/zK7bf99gsIKetQ8yjCzQ/ZNbsJcb/X6JgUjCFgyZ
7kUPFPPJrpZKUrRMjFL7UwqCH3Sd8jYLpKQE2wFhJCFM5wQZwv/VDITVFrYlwMYh4Z2Q8Y1ea/Mo
T/mmJRydWUBFDPHkPOJxGJlJkYZaQYcRDgF6dVcqMnXmpLy+TSQNmhO76Ge947NhZUZ2BAh01Xp3
XWFW06Zqy1XVRMReNDawwYGfEpquL2GnSqyDCeT9sAs4L94advDRrr7Cih6wXtAMtlSXQ5FBgtiC
YwdcOf72abuwU9dVJJ19bB1c8JGFth+cm9jeWJz5GJsQ+XAblZq4x4ltinNb6wvab3g/juTnSC2L
3bF+xEUmzjIW9kTnwywDRNn9ak2cXYnGcZIvkSu8LmxcjNszGnltdQfBPe/K1lOtveei0ovbmGf0
EVp3YFZfAm0baB/OC0H7b/JUPJ1CMS3nYFyQ4A6gf5FAtuKUaPx3vZyUvzFhvyLXuEdjtdSxwd3f
Q96BCdsrICZ0JSRjFbdXmQPPSnDK6eB4S4tNL8BOuPHiX4ASHwcbjm98LKOJberEHr5DxmvKZ8Zo
+uUyT6rRgDSZ4MupHkU4+BXxQ43iBBdWOnw/GKTvFjXMEMa1ZTniweVWpc/zzhnIDIp5TfSpxmn2
mbVtG1oQVtIB4ZT+CW4nrEUiTRWMKoG/AnN4z5Z2BrDAum7p2Kwp1A6qmdty86Ltu7Mq+nAFdPcU
nyZE4Hz3CVHNtNjVv9wLDlEAEkqMNgtM/m2cog/cJUQdoGAD0gwQX91W232zp4MAhkuDT6Tk77ng
TbVrPA5TUC0I7hLQWpRaEkjlh83elKfeYHR+s/FJQ74INH7ZVYrEJjclv7p20pEcjVJbAsTkxcu+
7YZFEfWTiENnzDVczkUJ8oMuhhSM6lykK62vfAh8dhabFyYb2lk9OJWYpWWZ5stibP1ahJ0Y8f8q
6tBlAymlL98vyOFTXSPUlIHXXzIrIuYw/JAhCZHceHX3REO3y5HyzAUsOFR1oEryWkUCo4Q0jIEo
+4n+JrDDvokZ2oW9pQTbndMGvlGSZfcHspD8KcFpPA4/KKg3jSZIh9u8d92LBmtvsoUDIzL7VarI
DXC0ANEhYtS2Vz33jLWrjl29U/nTvW9nOIK1VLdjoE90s9iMkdE/x9x76GAswv69BJoqyHL3/EGg
vZj7vRFs+G7X/MmEhpzleBDAwZVE/pX7YPMAqsPhRS43UJMPch0Qw9CWwHDxFxr8t/n7b4ink2Db
Ap4wEuG8Ayt6vIXDXLcHPA1llrZrakNzbl2PDVAsGEfmUQPt0NuSjeXnQhsN58mzIGI6Lyc9WwGt
0sH0i5ZZBxgMCJJw4dqCpEjTWTNHgae4qZV/LuGm5ltJa38/3G7SPD9NbFKx4SjWIKWEs5yhNnIH
zR+WKB4EciRn4gWquSurSvMLMkhSJWRbO/+Gmqq4uO4Buf6yXjkjr0k/w1fjLTAaWBgCLwrXIbSc
x6HWRPoEGeF22tQMWlEzk6aM/wb+0l22OPfV89GllnmjU41/muCRhkOxQNzxz0xdkImY/vi28EJe
Fv2S08mddTUnQHvp+XyajHaZofEMgDvjXydORGA36Q8c9/gjFoTA2xnJs6uDUOyaJJ1Nd1bva+sh
4WlYVYSuiSi0cDQKP+hbYa4to7AWoAG4i2QYfJgcifauHPTQa2zKVpdwVuEsBcI+COen5KmmTyfJ
E0KJ+4CWfrTYxkpZhx20ZJc8zX+ATiKAnbyeZjABYXVLAGx6gTzt20S1yQHDByMNpl1cF8+q06fx
jICByo+JplSeQF6lzsKlsCspBgbChZ+EoFhYdjHNs4YNxTzNWVI+tAPOZUE5WNWfyuuiqAvG0chu
qF3jIl27fgMahSZVTNzJhAh2g2E5DXsphEe3oniZUsijiQszyUvUqagjHy4JH5+K/wla8RahUX64
K9pwRcV0om7Mkqu6L9nmP7hp4CT1d3Z5NZ5ACwqH6W323ccdxhP4+Um/GghESEruOXF3Op5gcpYz
ENaVkAJSQvCHJZs0leOAYB1dweDWmcPoEiaWPdwI4FugPdjWABE7q7WNh4nDBwh6O669sgf81L87
n5aLjEh8a4E1o7EYXT++qqw8tx/60oKMQQ0SZfmlpIUePZawsvqSTsOw1k364xJ92+hDD/d+zvsG
LsaboYevdqEnhTshIoLfr0QxHInFKgFGBB+EgndMoH0RB8kQuBnQJLA8fkX3we0C+nYwI1FKs2et
cJQg7PFsLBVH8VdhiwRFIOmlchh85kg16kei3HDL4v1skjKcifGNKF1OR2l0utXwqxTAcJtFZQaW
1T5y370qGPvmQIg4SMtuqbvFQ+HyNXedFPkRK0KjSZAjNTNsNWAW+kbcVXYOpEQEN9iWp4vRpu6s
cuuVb7ePQ+5/aiPQ0qK47JFI+Z9R05exPSYzqlsPXQv7ETvjP6rc/wlHNj4vSshzlN1axJAgnWnW
2Njzsh45OllPn7xFyeLuU1ca7jR3i6woIUjC3SyLA0Nt0ju1Vb88ge0TQEi8/wQegA46rfmyF9w9
AOy9MfYA9AC6z4tl677mS/QwLjEv7Sj6290DUF9hmgd1RLlBoRjvkaagoEMJF6tNgFHBLDkn+6p7
89EDwIxEpOgGhjkclyQ59PABpFPUtmM/lZueTyOUyppc/9HiBB3NEDa2mE3YJxUbWynmmWkPERg9
zvUFGfXOArwzoy0JPGUcWEgtjUTJaqRSYcM0ppRdE6l8dgk1FWo2AuD9UPvG+e9frRhPw01+tws3
OAFK0UVo3/2l7e7CzVEGYziO+OgG0DSiAdyHG3oA/DeowZA9AUJyH24KF4GWEHhk+PehOz0n3OSa
6nhoArYaK3MPIBusg04ISc4E95FMxO7GycZoNZDEAbBRGf9hk65PjyVhZTkbDI3ls7qtpj7kKCtX
ObA27RqgB3AwnCKC9i8f2HhddKJm8AQidbweScPA3ijGVV2SayKgPcRiy13YiWYsSoeKpVPHt53L
hoDkbhwOZYe9PK1IgJ79C1YX8Hmi/Lo3qgI2IQD+utRw5plwYDHYeUj2HD6tei+ZTaKtFmWaGIuY
a2StV3HMA5ol6Txi4xCYBQOnWGPXkZbVN12Ly+fY51ZomiWBY9Gg3XpjlC0mFsM82baTdR2BW6Rl
lrUcoq67YlbfrZzGKoHAnm4AqusCv/OWzgjb2srwbujUiIASQsFmSXkQG26+hiOJBiwSyxfRqIwS
476Fc7vR1XBQvLw++fpAkvvo9QXtc/H0P49p3Zzme/Xp7gGqYwDi24QXxgtDZfcAla4IisDuJo9G
fP8ApT6INNwE7Ew2SocP0EZvgpsVHig0L/+rkgOorRA1kWKuEFSHWNxxvhcGQUaH9fgmUkT4uoLH
5HKkTeaHkyLLFw2NlmVilUGT5PGIg33aYNsvkrhzoZOKRZmrdmZoJybnictVGmRKKmcW8yT70WQZ
9cuwbKqLjPT2+gTFyI/jrsmfxUnOV1/tQk6xpUyw7JH2lWDNfsCTfCnEE9RqFNZD3sMPQ+4dUwb5
F2IaQ4reSpmflfNPMZXYeACKD8YM/EAkZ+o45DQ3yllRNfWmAiuQgy8lDd2LkcfGl1HzNhUR1jQv
jZ4twDr1knkMmdXm3phqK/mlZ+mwcPoxT5YugVYdsB5bw2FlPnzJbKqvkFvw9/uK1XPxVlMhP9oF
GIQZgAYCi/iFWYc/2uU0uVp421ZSbqdwgYd4719P4l0LC5wR8iOOQpC3x8XgTAUumbKOW1jEF06o
uuyJQZx6ldK4hp51pJF/1eRgGRua7vU3XdSX5brjFBvRuMvGO1rx7CeMEWNIGI4u0/9ome1+8cbc
czaZaQ7uIm+6CjI2kBdh1wZza+M+JyS7VM8tZhK/w49irGW/eP67OcljRH63CzNlpIVKhwX9qRoN
NvbSYRCgRNDij3tXxBAOllIvX6nAHZZO3JsgKPL/ANxVm4CjKAOzVGKHUTJxl8c/8TiLDbyiee9z
fdMIHMc+ddPQ6UHTQs4obcn0rRocc5FuHbAi0yqNG09ZYw1SoiarOIEqHOE6zZ/dqgTj7pK6VFPm
Y4B4P3UtxFNB8/QNDJH8bh9W4AwDzojJAxhdpZm7y17ScxnVEb7LfyvnYXlUM4oEMeLIhCq9S1+y
PEKbHOboSG9Qyf2P5dGQeGBp94YUBvsttKGHE3hm5i5sOMx2A/RjOoXF5MXgF8DhiCVLQ5Y/IwFR
MxwzaaNcbD2VicXpEk6yXXef9x1jaybM9o/fmjG/a4kRD/e12bJkdokyFWUeSsb7UTZ7rv/nhqeg
JJ6kL0TGPs5wXkSfA97hKebb+EfKGkFka+cos2/DjH/gQGPIxALhrK0U+S7OdAAtAYwEBRhCq3JR
f87oLX+yV2VSqkmjVstXADQulgaHcZbopWtOIPBeGYNXQ28ictYWjI0f48yFKEjZjtfQgABILRc+
TJezJ1/z9EXTFGYZmMxJZ/ngdgGnpFq72jQtKLgwC5zDWagP9rDxuTmuWTrlWWDhbBrm8WDNIZQU
X+eStThyC+YNWqNt4OPwWNN0AIPGa2ZF7vTLburLm8hyv3q8ssLEjeZdj/vZ0i2aOpq1sV7nGM69
lJfrQXhOf1O6kbNhsjpj2l20cDQ2pLVxL02O4WechKk0Ph6JVS8KaYY8drBFtm0YJA/KKlmaJlNp
n6wxD2LLGSyVB2mubEib5RZ+y1PqAwkgLZgzacYspC3zWMKgWe9g1VxK0+ZW2jcTadvpw6iumYwo
bOHxjL/wvpSmz/BJ+ZTABVrAzjTspTF0M6XfHDhF+wXbtNI6miTRtS7NpKm0laZ0ZLNKWk1fXu22
rf1wYL96/vPnWbzFRyM6PtwVB9m/QiFKHgFw+VSiT7vigOOYJEu6oPtjLXakgCd7WwtaZHhG0AuT
O9i/xUFi6LFg8wH620rSnoExOJX6tKSfuxLAk+IVsu05fLPVOLDJGmi60aCz7YetvHgZESQjfkOw
H4ewUd7ERMzMB6p6WJ0jo2ymNPe+dLHRpwEwCa42Ezx2kpXQxjr9nGce0cLCq/iXLIGQzcZonOhi
F/sCFdU/hIqucBBL3w65A7iojaYDwzU2tH/vXruQc/4BT1gugkzJGT7kCksOmhT2x2pInVzRfu7K
hEQI4CCL2/3LzvecMqHcsI/6XIhiQJsKlwXocMN2RyKsDqhBVu01HkNEbfqscW9AUC/uraEwowCK
/s6/GKumcQE5uzEPmfA0G2JDdq1/ylnHSOj3aW+XYafHP7uEesld03j/OgkrPgE2qi9ZX9uBPri/
GqPtw5hZ8RL3q/yzk5jDvMlNyDFAbaoVFjKnabfLHMVmpntVfIP2yQ4JF88w0Xuq6oJ8TUGJD0we
gzPs8yHw88mDXHzbBk2p9Qs3juplgrYqaDryre3Egzb0ySwFa/6GDhNw1Fr2NUrBQSkM2v2MWP8I
XigNei2GpV9auEE2xtVs4l6zmOoa/LopaqDGbPoBuAPTDELhedDhdhPiR49XaV41mxyKV4+kre8p
xP5DMfXfBmo8eK1wv9pVUsxjAt2Mvqdw9Ea5v65pFGGDawmIRUOog2xFOy6pX6V+6cTzfsN2nzzn
v8aTZg2T4D7vgyQKgaGj4/PuEdpo7wFIwJPazpMHa1rFBMXbwEwAniguGcevEGs2iWEANQaD6Dmv
UE4Xx80a1sdqKpHgcTn1Hr/CxDILI9HptIlcqQPuxjn/YlYJ1MGZUgrPMXn+0uyu+VR1ZroCaxk0
UmipZs1PW1E9aSPslSGfJoYCH890UG+2tbJxXNgpjnrPsL6GiIyvMLeXuNuOox/G3eJpfG6a55PA
Q0rfB54ULZHiPjamx5N7MNYKyL3Ac73grv8ua6U6CdoAkKReqsY+8JRtM1INVEtxpJOrkTM6DmUt
dJT+oVvioMaAWoODMG4Rx4FnJwZ1Ca3LTTLYI5k5ipcCnRXxQCubjWsz6qb4E4yxvvfwWAuZD72/
ZABkduaDG1+sYl2wVQpNfBFqSvRE+DGvl5OSJMm7yuxng1X8602+nS+gw5MviPKDZnYRm5+wUQT1
5RKM26kVSeH9JDh7/vepad+4HEjRm133K2miUNyVZlO7s9MuC0qXZ4yyu13cIZpbtbjQWzCQ7E4g
tljEgV5l4dvtruWMYHzjcoAuCbR8vBf8hJhbj4NxomB7Mr8rN+hWyQDvtKS1HWjuFhH7kTXjFHRm
V8/yjkfNYsD5GqqMpg19/Bll1RhCzS+MBjjhXAsDt+FFa7b12i6d2rwwlNVSF3Xsowj737J8Kjiv
30h48sNdjCE/Wchc+P2hf0VWQfjtYuwNAvNu/SZjDPAv5KITBBjghx5M77Eu2c5e58FeZSU9TngQ
aMKPhlYX8xVi9jjGhn6wzTFL8w2bcDRf2TSi9n0XFbWzYBEuC7MOuqrOY0QctrI7p3QWrW9GUMAh
scfDPq9iaC5ovlWsHQ4xsXuZwdeXDLbNYKgu72ewOWPPzWkx9fDRLrbgN4+VG/ojbE6Vkd8+tuQd
/oCQt4srJbGAWR9bW2xdcYvfF1IpsSAVl7Bpw65OyjGdk7twxziOK3iOoyTL7R3+OeopHc5RPqSG
aiBB3I1V9x1YdJ7Bh8+pxW1r0QiPFHfYs7Funva8sa78sWSA/nUp3HDDRqnMeFJwBrbM0J5xqTY8
XUJKTQb2hx3at6fxDXY7bAb2IaVykoTsQZdbrX32IaWqJcIG0/brhZBKV8CQgpCi9kHIMrvxXJI5
Yakrpb6VQ/15YSWvAa/SFaJKykNLdKD+Gq/X5zaLUmqxzVAP1MJMDGzQU0ztAvOxzDyuSkK5SkhF
X0BrIZeyC6iTBYBIkRJKaJVowpBnfoOiiAqaylrKue2yH03suHHA4bZWzi4hp7KYixXJ+1kszJ8E
faNEyq92aUwFlk0MJDOMlkrealciZRsGIXAcqLButLECPLwcAEshiZX7m+g+5nCrl4RfnA3OlxE/
jTkIFaE6YiQGiwCt4nGJTFs/qrKprja11Y5hlFYJnfXbdksoFY7Rrla9UuZIpUiHvgUbu0lZx/MY
GveP0TQU3sqs4wx7D5xL51u5wka0Bg1ZVwlxDR/Hy+J7e2uXa+L3A+7m6ffbO0j52T7i5PpC9vc6
xlF1T99HnDQBx6ndAc5+e5DaFU9sGiXmHsB7pB8USvTju4jDRhyTBNhNOJJv4/SM4nnKCYF9Ka5e
4JdasGs4kWErxtqAc7ctNiQb/McuK5t47m2R7BkWJtO8HfPuU2H4LJtbRjs92Lj4GHHgtaOpz2tb
ZJtC+hF1yppoaLpS+1nCsAhHMB7wCR5GTefrS28or42kdrQfvgrQS8JTNdZEEvog/njRxJw9vwUq
kl/uQhANGiRS8bsFrAND3qFmpgRKEg8x8EYEIjTfZ3eC9oP1OaYNKTB4Vvsm2/7jOoteUC7cpUAW
ujcsAQ/bN9uCtmpBjA4RaA4Lm448WtRW7rPA8rVBWg9R62asWP/sKEa6y1PS35dKCniSnM/KEYZ5
EwnTr+e9UlBIiYM+kG2lFS6hpkJNOla8H2qbZ07bNyzm5Ve7MJPOQYglGWGHZHVJxTTlCvhFshVD
xWGWQ0iC3gbEG7a5ByOCvPsBrgEgCa4t53ssv44xJDd5krfwEwLw9BoYWXDMkTCUp5uK8hZ63AWd
2vSzVzLyK+piWPm2bjXp87b3q9sKrr3RVSqdwLtm9Nhjb2o2RCclAbPckjG5JGbGRlVfxs/tekM6
J74fXCuoyOfNW3qm8rtdeAFBBPYt2n6JItoC03aFVMLZsLCEFdHfk90uxCSCCOUTl+Ote+7BuAC+
BQBrGBesLd3irO3G6ToXMqsgcWIMBbMYdfvVBi1vQa4Uveg2ZmvCmdmgA9GDMY/s8jGXTX+N9rEJ
Adwdf/pu1NugRcT6sqiLeJEUtUbAhYi9hC+aqOVBT8p4WkRFqkHgSFjQR83a/hknQQuS8aIcA3ga
TcWjr8S0pq4YxK2W65Vxc0l222SHIvN+PF7zNq0x5r+SggF5ax+NEoIE9dLdZfkw4QGCJJUC0VdB
Fwu7fTSDu2jEH6FpsiB6i+KpcEYHbR3yHNCYCEhP4RnOKarScOG4qEKGGuMMoOAAR9jAWxwX1Q7E
mdbvEiB1dTHexoavXXd5Ni30YnBXHdP933mpVfOqhANP3ZoaHNw7e0bABn4wm765scuUAtaTmfHM
Stp8NvYsvRpI2gCY5OVymNXiGYg947VVFBa8XVJIbIEDGevjL8R8oc+cjooNdQYvwv1iyJ59K3aH
mbAVRjP7GcOc4w6wIxyGmy3sqIN6DTBICo90CWMZxoCKfxTG4VOe8PYNyKb8bJdVyT+Ar8g8KKEI
x1lV7fUw8qKcK5+2g8KNrPqKKfM3jrdZ9eVvk43AOdMJfrDjMEY+BzoD8zgmHinedRzGsMOivaeN
0wbbmOLzpJdEPPLKB6rOcgZRBIOL3ArZNtavutIbf09WT39FymUS6pdluoIIjbSfhFSWvo46W/Rh
64APETLXiFgVNAju/s+kWeZSo7H9rHHLqS5J9GU4Ri39IInCWuKNFIpvdqEnTSgVjBzJa1fJcfa3
APYDXXH3J7vUibgC8kaueNEnSmWF/TyMbAu0pWPKm+y5EScT49E0guMJ0ArYPFrY6ZyYjAvNE2nS
VtmmaqgbBQ7l5Z+hYGSYQ1vcSUNBWt97aG1asdXQ0zELoojoN41DGXiNtBLDd08pAuZKHXCw+1Jb
lBV2fIaLFc5tYRjpryFCWF8LzV4lmR9HYF5yv9WDS9ZTWU8ejt6PuyWsBGE8fhJ6EF/ehx5MoJFP
DgbffQTCBBpTDKi7MKF8YRXuQlBhUiTAXXo8bIecfRCCwQWODfo+rHpQv89Ke7JXPApCrJxBI8MB
C2M5tjxyZD5AhvlwnYySfuo27gTVyTnEyIWxKPop/a3VXWQ/ZmaU5cFo0uxTS7JxXsQDw+o5S9rB
gW4CW2ODFEHWw7aNMG+8YZWD8njrR5H1NWqsOjQSbewejWgAVcJP08gCxlg6SGsAnsFO+hKHqokE
QfuDOLziaNvfmGkAT9/HofLhhVgfRNQ8QEAOBX5lJsR2cFuV1UB9GIa4SAD8ij32VmVmH4boLyXC
ACqYEmZ7lv3aqWQHLMh9+VeBOyazrjy8HYThgO7P1iiJN/RPN/lxGcaEt9ZcjwfxGb6MrP3RSjte
Edv0eqwI/wMLTCcKym02a4wEqa1GkhuJyG5dpnnfO8ryUNNMQZYDSvIAm6n+m1Zl9h0XXlmFRuq6
CewHJ8tO4LYFEiLRgedjBZu3pnczOuCdV3SYTa67KR37+f+yd2a9bWRblv4rjXqP7JiHRlcBFSQ1
e5Dt9JAvAaUtxzzP8ev7O0FSEknLuEq6UCy04+Z9MGhK5uE+e1x7LT+ubrQmu2fC3aNc6ZxbtYas
lKqqoNhjY9HKUnxRWt2dr2fsDOlnXm1em0n10UaiELyCclGjfHgRD9mrUJSoyzrprnsrrf7+fQfm
O8CO9E/uwNs8+UHPSLxnmwMI0hrqISQabMEf/JQxSWN1EXZpRm8PSj9PbwCXg4kMZIf4MvznkxtA
E4BsgDRiJuJ8iSM2DsooVnq5UGJ8TUIAz93uDSjLJirGQCmvVadR3WaA/UVjWnwW5LHULeS2Lm7t
DHR45Weh/Nlp4vovuYuTN01RKsbSq5JmYukh8bv3Vt1H2VUHS+0bZunxX0Zt1c7nbMrM6xj1QnnV
kO3bZ/nMLYPsJr+pnDlnQqu5TGGhSSIrX5mq9BcMBF9aQVQTN0LosAmWAxw2FVw2oH4B9U6Gumgi
6Y1ttB8LeG9gCDGXDUw4vaDEGfVCcvO6eduWeo2qKMQ5Mgw6fDzbhTQNjTXYdeyg/BDAtsMEtHZT
+HcyeHhU+Hh+34r1rfjp2Oj93deD7GTuEmwvhY7WMd0DtKrQ5pwz2of8eCY24KKs9dd3cOuiJqNc
2oyZ5oixvRRzTUbLgSboHDRe1LCfi66d7ISUZG50cTdI0w+Y3yHEEFRSyrVnOEFWut1cUUlzdZWL
QqsUnATtmp8A9sXwCwLd0BY4zCGuTADa/UJ2PGVY2HHpXXcB/Tv02ZBdqQGola4yi7E0mdDgNhtH
/eg1Zdj8nliuizIRxJ9Pjj/d/103PyA5gA3uqU8GlMMQ+mGH7mlyzHIwvBokJuS7Myp765MFOJYd
HdzxZjni0SfP5sd2D8MnhtovhPuIkLCbHK97AtgeHtlmmW/PJ6fcgiKvp+upZbnh1priSHejWUrA
GCVkBcq5N1o69cgIiFnRQhbN03Tuo3oq9NutSGBaBKiWXjiosYue6Wi/sedtYWPeHE4VE9ZuVKb8
O6vwuot+7jOoc88hm/sPkiIp1cfKKsrlb6c4O0UU1n9mmXfFfZLkh45RvG3rGGcSRYbosKtvgvuD
YxTmRwWGka2jNSXT1jLFKIl3kCqsSTb4gVvHuMY+mrhbzJNUwnxJtnCo9YNfJllgFMGQyYB8dNcy
/ZaWSCdn8bU+pLn6uh9bvV5Fvu2Fn9V59Sue18BysRFWoL1S3JFa1JeeHEL2adqSl3/oykx/Ww9j
N13HaRB/s4KYrcrYzozXv81sNjOZZPB5B3iR93c/UDVjCeCplWEMDzQuT1NSMUyC/n3LHCRe2hrZ
jHa00JNi631TyW2NbJbLhqADzAY4W2TRXmRkwr3tRF9qMloDTJlAxoEL3+sNhOk4OeZgtNd2bZVt
tggdtX9b9XZ1a091N75pHLiIy0bL0zNIaL3bqLArC4F1yTQWEYOi8ExqWik896cgYi2q71FsJ88Y
bgdlyLKzyCz//G1ps6WJEeDzlvYqbL6yHZUcejTxvkePZlBYI5aOWc1L6Y+xVhAKgexnRWWjpb5n
bDTtQattmOIePNpsbADYQIKvaUBfZGxUZvvGhqIu/zISR5I0gaR72gHom1CB+99CUaD2+uqSTsFw
K9kjVHJ+4GA+OFU/OlenwUEjT2/UxLgLbAvGBK0OtORVraTtUnGy6dabxdkDSwi1/zYvYV6MCX9m
Xsu7LqwPbGt+06NtUQiDJASBDSJ2rpK3bXaxKUBP5wfbr/PGydOl6gfLElzEhDXhe6AtFKX6CyY7
hwsniPIJlV64knXSuAOSF7NXR1Ziw2s00tXpQ5jE6I6F8TBgTUYcvjftOjM+jFUaXOUz5bAGcdr4
qRqFv/KrKlVfJyIq6p1YFPCSKb1o5/WB39a1dl7Erp84rzyr8vsD8wKL+NR17dvQ1roEsJveI+Cw
HwzAgfXQWaeLrlJFPF0KmHMx6FbpaK5pil9kX1Tce54LEnfMC/YK0OX8ql3PpcRFb095n1znmGG+
qM4ytoKld/acT8ltH39r5iyrFwlXPFOvk7WBd6waI1gkM3E6YlmJ/DnKg/h93CCd580qes6sqNfN
6yi/jW12ZSJJed7YFgGCxnf1XX9gb8Swp/YGYSpYa8YyW2XircHNeRnLcDSp54VgvuzHvIweBYMc
iKcFE6vAPm7zMqRSoPT/JeQR5GQQW0CuTrseckA899MwWcux702VUl0rhPOVH0pnQ5maN3UQWsnZ
yBJm0Odav8xmzXi/AMG4iETaZrUdq/OLcc68Br2czFd51yAXwYypi8/KpoDwhE8mg4KUvEyL3d8G
N3s3UXo9b3Cf7jj5zP8R4oxW86PFCSCPgMfShZ7pQMmOthYnsI40Mtiaw2MJypJHi5uh28BuBGKB
XoiQWdla3AxqZLasmxak/qy+vMTFiZ36XRdHvxyyR3JEeLPQj9orN6eJzd6+0YPrMcltqEfkBOUT
fabcY2UluscqJe9zExTgcIriVSMmHYqYecRhuTC75qPEMGS0jbOA4UjFkKQT05JuKozFKCYonWKW
rjR652QYPdlddh8wboH+4R7HeB34EizuDGS8znsF8US60uFLl3w/cJ31/KaIJDNYlhoq9JcE6PJ1
WuejvHJmwGXcaNrf5cyW8tumZ5sWfdbnbfrq7mv843HjExcqszqAQeIOwTfQWcYZbg16jr4iEWPh
SfDzYExbF6qCEceJ0vS1BYJWbDVvDRplSCBmDDBlpjizAOQLckKDm7Fv0IKgjZ9E1kqbUcT0J/PG
Qo3V0Ips6SpQwkS/t8LaqN8WsZLfWWE3nud6aa6Sok3dYizGM7mUqrM0lYMLvZbVZRCM+kqP/Pyy
g8tqxW6pd6tKVR0t+tpMr1R5Ms4yrVVv4ty0b1hdvvH61l62oae/zvT+c6IUxuvEt9VPadPfOo2T
L4JokN5D2iXd9YXzabKKaTX5jXehAEt3YymFy8rKepcdseGi953iUxPFIdwlZXMlS0pz6Q1wW3xs
U2i6Vow3w3NYq+WLKjdkiKqzoQ3fMJEZvPMefoj4DYSu5QTPVTNZC5YxtPrq98VYp7JUpc9fjFdt
zXo+nHIH2QXrzo++Xv6DWsl+TBSw/+3VEEN6QMKPPCWPVwNfj7k+SmNt7wVvAW6OpAspsEU/+kUt
n1nddKflA9kqiQ1LOuTVyFWShD+9FzVscVkAkPIqbFuEVdLyLh3q8SqtptFNKkmQq8tnpln4Z06e
JufBZAs6ia5/FxWedKaVfrNIcm26cWKp/NOTy+hjDZxTW5hN4SyAjrQ1A5lS/xAMzaRdFIrURJd+
Ll81sA8pr4N05TmQBL23C6+mFxmleb6swq72LkYzmtQVsyA1XahrHOhvm11nxPi2522WTcbxwFyh
wXk015n7nB4l4i2bNs+Duc4jQoukkLQFIcCnRNSztD12ySB7PXB/6skxVpg2SZGPxmxCqoTwliDK
QgpVpEZPrVXKJz3std64nhuli1DtnEsbgYr2C/vZzf0EcGQ52GrujqFRwWEllbBVn6dVkzNJTAqI
CpGwcgGFKM315DNQWoRm49krefi71EtdvTDXPOkDVDwj+7Pwp/82utlRiq/ieaN7e5fk/+s/Abkc
WB5n/NTy2J1FikTA13dn0zNemLKe3hUKPzP9xDaFmA1PbNyi4DcjNnYNj/VZ+QHY+YIM4pDFD9ZP
qCy4E0KbA9KpXdurxlYrMyPRrmunez1BGem/rZqW7caR1mXiekOeLcM61NHoEyQB0AZVgjBAbP2j
oJaiweI393LPtsUXM8ucS0v0+hdlaPhpABYURZYLP+r66Hdo3kyjf5qzfqpCP2gOzU18bdsmJls/
Iu1kQqduQejbuDxv/eDnyGc3DcknKatoVdJjYkNjT3JX9AoAJ+ADt2TpLzA4UcztpqwKZFFsrxGa
sQXm37sGZ6RFJEdjOF438RAamWupjX+WCYpgo4B99DLNqqF7bwgS4cT0+jNTTjP5a+b5YNoL2+yG
89CY1DNJCtTpUy04riOBBO4Ul401aPIaMaVmBbe67eaVoIL1SBc+FBaFfju92ekJTNfzTu9TXjXB
DyzwSZ9znsOgOW7QuZxR6Y+ZoTDOPX7JR48H3zUlE3130J07jc7ZGYKeYK4zS0W8CI0z75XtJIei
yU9MF3RlcGTvwyE6C+3IuFHHa/YXwjs1q2ztRp+nL+E8iRmtPlduyqjxyvOhrkv1uxHUgXXWJU78
sQmiZoJQQJPG3/DzjYqI89PU7eIu+5p/PUQ9UjfvOjW+L9pAD+Fwx6khFs5YkB7LjAh+NCn64gAE
n7TVt/WGaGWSZgvUldhzdV60ynioVKbARca2mwik8D8JzpanGZxi9CwD08G/bsyIgUw6e6sxtwv5
ayycWKtUWnjWhVyaL3baRF+1wWiWQ6Cm5/3U6nqxSIPJMt3SyqXKlfygWnbgCyH9DP24/5z7tR3/
dl9zBGVh+Wfu67y6v/9BZTu/axtBdeAvtCJt2JXnHWtC2NbY9D9MPBRGNrsoBi+Ple2M2cKomE6v
W+SPGZtYgwDgJ9OOB6YIAv0lXcwfEFCwbSGwZERQwd5D7H9qbFUA5k/rrPFaU6LRdP0BUNcKFbLa
/zhqTjwuJZmEzG2aYlVUpZy9NuVQat/3NCWvpKYLdVdq5Lq/rQUUS6dLeesXYonLanv9XhabXW2V
JledTE/4oxIHRnajsiHx/2P03ImDpF0/7atcgqT5wRu2VidajRShYsT7dDfWBKaFPBH2s2Hhf7Q4
gaBh5R9FLBb0ed+TNqNMB8ZixwsVxg245gU5m36oJ46LZOgMQx6cilA87SVtY9o0XWaF9pVcpsM1
2nHFso/V+N2gGfG3NOumy95rdGthJYbvu/Hoxa9Zqqm+RJFZF65n1dJbxbdk3w2KsXura433MZ5U
T78uw2H4GjRh5F/Cr196Cy9rNWlRDpOP0/SclTck1sfRoMHYVoVWu9WYJt5VENnJt64bjZsOUp+P
wZBHlTsllZ26DYP4cZmhwbdotP4ycPTwsjO6ZBUFGuLkZuYYoZulmvkNjoXkPpOtSz9JpteRM3Sf
mrDU3yHx1E7Ltiu87402pW98qXsVJ22Q0YIMoy+Tp5V3uud3nwa/pIsz1sF3SYOTw3V8oyzdarDe
FmbnULOPWv02Mvzh1WRVSu86lT5+Z6tDus2zqO9cq0tR/ZNU79LUC7w/Xh5cL4Mv/UYNojgChjkp
jjv0bXA3FX52QUKMVkDnBV+UUfOHhWYjkFbjkSzXSc3k/agEwZvWaC+NvM2hfu4TH9QS1x7oHUqw
+VBoyylNzfdp4E/h+ZQFiYVOdqAObq6o7eQGcab4ywzmrm+jIg8M2oBCyYsg6dpr06maherF5VXr
xdEqqhVTsFzn5iIpB+e6mrrYNXBImSs7hf1aH3MnPPM6q32HsGF54Y9BfhGjOPt3IHns9TthmuQL
fTKL92XSN1ckbdIiVwcOx0kSRAeLLHmjWJ4lu7Y/RW9CMNPtwjes7nPSyqNrtnpjXytBzhJhMI3D
4Hq+5VyxrOg1Sz/toxUcd9WbLGirBQL35ehqpvB3PUr0royW3lUTpRo1ajD4b+2m+F7zU9oLuZnK
cCnZWv699+NEd7V+Sno31Kfma1ZppnTheXby0WuH6LLTsnI1OWOkXRbsONwVdOrfmjAaLPMiM84c
Sasg69ZK7UzJWeZ2h1Dp31Bj+9HHUo69obudJJQjkpUySU1zbild+K4freBtqjqjknzj21V7fRGk
9A5jd9CzQKpv5Kka8/A1c9rUe+3XpbNMlVxFHqLpvvRGb17ao6L+CbPVx5Lm4zJKpvd6PfgrUlbF
WDSK0mUXXqYUZ1LupW7GDV10NAauxkaPz+o0TrneWrUY82oBzQw7QplSuUTDfFXLRbooG8U7i4J4
dGEHUVfh4LSQ/GvpMomVaxU1vlc5GDx3yPV3LHFdJOzH30yF7i1GuZJXg4wGpjmUnHs7DEXqdvqI
mqtdYYF6VsqvJSMfzSXdfW2hVZ5zFkZTc6WmVboKo9G61Aanv2k1SNL7Mo3PS6NFnjJPp/LarMv2
So3a9N2oZFBDoNdtnJtR1ryTnPoW+cDSjfPo+2RrfyoAlc3Ejr/ZVa4vI9MM3DyM6g9Sqyavk36w
FnVWBm44GMr7So/xWnaaJYi76Y4rk98tvFhl16r37UWn6o3btfFbTYdbQq+ShT9xsVmKvoga/51p
ZsEqzZVo4ZVZtohCKAPcoU7siwpBTJrQpjjtvP8Al16wlLuR/kkOA5mawK9oq5H6zixaSGSTSVAL
VMalZejpik6TMbi+XrevDCeWV+UQDTdjakyfNFTBPlupES2ZOybuUATBldU21gcEztvrojcT2Oj9
Gp9i5fgONzQ86as8DXnBzfenN3LM7WUOHL2daCzex35hI6uo6xet5ETIj0rOsPJrfzjz1KldNJmc
Mioy/IUfxswq2y48t6rUvo4r9U42nRG5krA7G7x0cg2nbFZp3ckx1zALbvskiFfepGXJwvQTTlvV
Ii6qLTnO1zAcCSK21oUlX0IzLAJPym5CirA3UW333zrZkFYdhDTnacMakGwX2TLSrfasqu30c5nb
9tug8Ytx4fP1f44Y19KLl14b7Ky9UTr0VMbElz8wbU6+16PefLEUX39vlUN2W5aBvxqVUj5LCr19
1U2NfRnJeh27CVrcKzayEpxuELbvaYjlV3ZQa3dajUlrWtnfDGqZvbKVor4YJEN5U9fwZQ5N2XKr
+vG9r6Sm7aaSEr5uOqe5YaGju6mNxLuQAyNadFEdL3PdxmUm/hvFqaMLZATCt1LcWrYbd7a18PH5
Sy1qGDR7TTBdyUkRnKVMF16HauL9GWRTH7hpYdR/jaEaxu4kdeGN2sX1Ra16Ze1OyvB32rRos2rF
9EHrNHVRgDKs3IT2sO9aZf1n6ffqzRR4/c3U553vklVG2FsZvDPMVnmv+h0iNnlUwG5RQiOA7mvw
qSiL+q02mcPboM6FOpTw9kT04S6Iy+SDFuhW7bamMqz6XosXtEOnRYRVXhlVc9u0Yx298SFsaZrP
cmk6seqOZq/E8udR8pPsIh+sKvykG6qXNYsmN1siUSzb0ZsJHkjVZT7JoiNj9+WodUO6KuRh+mY3
nck4c8wWSGLgggM24zqEcnqEIoKxPe/l9EM/DOV5GPf+CiP12N+qk2WbZcmtVozN0sisq9aXiiVM
WeHivyTzfRV+rfI6/9783//9dfg/X/NinHt/cxr3+Kfz+/z1XXpf7/+lnffU/zG/7N/ny7vmbucP
q6yBQPO2hRHt3X3dJs02TRR/8199cUP78mEs7v/93+6+paFoCcME+7WhPDqghPlpjnwz/mgBWNTb
2zTZoJaSdaYk4DcEDzxNgm1xRqosKyyuriv6nVWvGWwu4LgmefHuIrpoLsEjQ/q8kcV5SXEG98x+
f5OdMQY54rewTQmcd7c6G4s4dqK6DW7UDCKOsxppkgaZRxiQLsbCDLJXYzKN0bndyYF0kfq5jpiy
5aEtpRHBFSblsaa+kjr5ddFH32ls0GufuDlBsIwL9TId7cs4s95JhnWmjlLmekVyr9vZO0mRv+ND
P0el/lrXhpWSjq5v6ytHa960vvOqNsrLSQkXatKvprE7B5P8we7QXoiUeOX3/VUdBzfDJEDy9mXb
JrarDuQeHrmWq0WeszDQpaSPUtOjaN5qfiW7hhSdJbK86PX6uiiij3HfLYvCumin6QphlLMk8z8n
4FzcLAku2lj/0Nfyh1Drr5zJeaU6/vs075dR6f3VqtGHvvPPk0k7Twrvpkqtc5LAs4ohtev72pIB
ykensW+9lCX+VDPOOhQ0XbVNvsSa/rouohBekyx3pUS9NhV9QFCiuM0lBRqT1j8LzfA8sFn4VLOP
ZtgtfJNE1PfP27R7o6jRlZ/VF6Y8fWxktVzopXFjRr20jCf93quKZlE38UUI1U+WDbmbDna26IY+
dSd9fJUKZReWUJZqqZ9piv7VC9V0WYR659a1sxrUbNVpk5uV47sqLN4l3nDhTObXFgaLJQn3tEz0
9ibpvTH5HtZ+Nn38L/E0//N8iCDbf75D/b7Jf8TvKN60dSLcedbq4HdkNWVmVHl0IhrCduDXNuqJ
O05k7vBsSC7mF7bNxLm/I/h94N0ToMkXodQOm4nMYMTmHzU9ODkwubseJFcaO2mLsL72/WIgW246
z3M1u9Mvw9FpSY3UmSmNCk+wpiV13V+hgJ1edWM1WX92OnXe0vKjCPX5PB7SD3YZnXtq1kI2RVxl
dwUSC3X129TWw5Cfmton9tPu/77zfzABFlitR3Nj6gFyiTxDqKuIDuU2Zs26srSMQVxvF/Mfu9cM
RJ5M8viBW4NbD0RoKVrgW1jUe1n3WhjU3kCEwR+QHX6QyTogv+hpQ1GS7ClyykK9VuF+MgEI0Gsi
KJFEscDarAaqf0YeYvqhaGNonZltVp9LzLT1wG1kFuEv9LCigNXjYDQiF7QuTezf9jXbl1BPet6V
XX7b7Rg+vGVrWUBXGHqwKWeBCFgjCLaWZUDLQw7i0LdjOYap2mPjkImuYOcGBSuscceV4ePgvIXT
G0lh0al+EQ7rR+gCIA/0IhR68/x/r1Ut9w766TCWXkdD0gcUtxr1j1v3k3ctVwkL7da83G7okklr
Guqx14OXO9NKDoMwuaRVp1FkDWO/oPZMk6WiFTk5uTON08c2MTSmxxl97rKR//xtbsJ2SNB+Zm7/
+e0urQ9S9vlNW4ND1YKVTaRfIYM6VLWAXptMesa1Pl31BMUNMdSTPagHRzYvT6mMRaDSm4ULXpR8
H+TeoKcUB3g/CEKWZWZY4BM4rFd0RmAPanNddp3cLuWCffQzr1G6lRT3Q02b1bJu2Ch2vDOJkllb
2E4ZVgtlNG96aHrTr0FufzBrU31VjU4/rexQFh3luMq8s04J/k5hI0nKhWN2+vVvg5udlcIo9Hn/
dpX/SLmYSPgYO2eYNS1DcNbrNbrH2ClgpvRcCFrzssFT2lDc2Jw+MTvZyrVvY+e8iACkWxRna9z2
tuZ9uw6KlMtU3FTLmz//r6xN36Kx3NT//m8zXGUndoo8EtpQsYQFfHA/WSO99CQ7C4PrYZK9hW52
kQ41h2hrnucAT7U3pt5CyV2FlpJ98ywjTy9gsLXsD7bRGCy1NKmM9K/h69+lzqvq30yKa5iUmHU9
b1Yf7ljgqA4cmS7etePIUDqVN5LYvLSNnMDyQN5pggcWqdE5XdvmZJDY8k2Tc/FNC80LAtrWroSW
CoS0LHtuoHlHujJ6sjB5svMiVqDmIuGJK0Nqrp46XQeHR3OMjl2rNXeNURYXZaxmzlmpUasvPeGI
srVT6vFPiVfZ/rmdQoLctpMMTi+P/za7sHO1pJuiq8EK9Hea0ZUVhMmpNimrqFe78XctsEYWWD8N
ngKC/KMFKQTGHq1OeDMTt2OJrGhGAjxYnUL3iuV0WGIe8ANbqwNQRTbGatQGcMwP3FqdYPHASB7j
7kuszsTodysBFfuliQa2QCeQCjHqp5UAy3UhY08zu+4Uu4q/pHbUBLAkRmqgLiFS9O03RlRLt7Yc
6Z+aJI1Ar+jqeVUryqU8KfLCog/0SiWHW6HLIp9R9hSu6XfmeR0M6dJz2soNvbhZhrn3l2r6n/vA
/0ux+sL1I/1bnARv+1G5LeLMWTltqyy1fOgvQ0nSlokRFedCDCP1i3hpFvmtDoPYYhg8/Z1X9zkd
n5pZnVS353EMHbim5dXfqmSlFMtWvmwH64vCP+m8Sh3/sojlxM3LLH6liwkd67D6Kg+d8LrlmG+h
wZNft2rlncdqO4zf9YhNh8+hVhnVgsXWFAbSMkRMchaW9Ow4dtEvqhZBaX5G6B0Byt+ZwZwZCKme
5134O8ZMfp58O3Ti4n2PThzKbhuVjjW5jcg5H504eSBAHRAyhGiBuXnAus5JJ0gGGO51oaHwpLCe
nTgeV2axyzToL7/kOimH1wknzkVnq4AtLdaRdq8TdLUOkEK5ui7Ye5TvIVHqltY4vg9trdI/N03V
qX91KsqPkjRmzK8S25a+SHUWV6lbZl3qnNG2LS7G2ftDpdQtf9vWXOY4P/XUSKF/Cw+plmF6e7Qs
XC7kRhAkMbMX3LW8tLUsgWGl8oRpViw57aQHM1RaIP3Z5iBLeLrJKpqHQp0Ddw3pEdnDiyxLOOKd
tJMZhoMiFz1Mg6gwTyGepAdK7E1elsZUOn2mDJeGQ3jHixoIijY5SqSLzA7D8ywogmnRqG0aLDtd
8Yf3HorLOVgcYzq3Z00Fsp3xL9lmmL+IhehCWcpa8RH+p75VXM5aj353ctbZgY3zed6fLe+TO4iU
7g/8mSbet/VnFMpUEjaMWOw7r0WstlY3pwfbjHSvLU0bjjVTEy5lqG/EVvNjdgAu1mTfCXI64QNf
1M0RrDu7RodCArcCmgr+eUDB9lBgaaIYQqEhYjdkcNwwknOF2O8nErAg9bwY5ESn5Qy6x61iGHCy
aWzeeqDwRQoRtkX8xZNU62zM9fg2UlMzXiAeozuLsR6rheZE+blRKggjyKPqFOdcsLy49fxIedXU
CqzhoTE6NvGC70BMPx/rt3U99zAz3fvjf3zIU/7bH6DuzFz/x01IKBx+Zoxn1X2KEtahLYq3bW2R
1qLo9NDOWbNqPvGAzGBtIKjscQIJZDefl7apqiiQ2O542PLfja02zLRQnNCcEbPbl3jAubDe8YAC
h8h+AdU3BJ5o3mOsTzzgmGYjyIK0v44traqWSBWN7TLttHQ1FZKjuLk6hhdKNYTRuZT41rkWh2n+
zQaZYSydxiCP02L1i+KBBkML/M/CGPQFbN4KI39IvbRCq1xPayoAg/FfVRIYn2ovjxdwxY5n6PIG
SwCR8ausM2+Ytp7ZVX3PcD2+VnxTex1IU3gZtdKwbAE5LnSoUC5SI66+6JHtQfOpy0sjBUqjT+G7
PGaVz7e07izxwnZljRID1E4JX43K5C0UuavOYCDoXXOAHSoxi2hRAOKJjLpbhLGnXiSQ/PivvMTp
xvR/jKfe3N8fYhAeujPi1bkt8yE/ACr8S39p2+b58Q96EagBW971/fM/bIZV/PTnJOxZN+03YBM6
i9FcKphCiSbiIVdM8szfvIwmKshzgfh26C6Ih4v16Ol+/BEOER3PndcvPAqRBO+EwX9yFHgdUiQA
gvNDwr9zFIRCZrSiWl6/TnJ0kkchIvHRR4Gyh0ps33zreLm9o2DMRnlBEXTKVoGQ3C84Co1snHRX
JCE8+xeEyQTARyasp3ozxATuSHNQ/7BwAaxobr7ufXPQeF2FFJqovD2jk7wZBwCOlzsJiFTESiqa
MA8fdedmUKUZDEZteOjnZ+2WnkSWf+YL/xWf+lOXv4eHY8voaKvgo7L4xn/PWIXxBw0SVfQJ18/a
Dk/wKPZnRS+3CqEBIljg7U3owAPvWAVLNmJFC5d50laB/ucvsAr6E3SXtg8/cecoUPRhokabgkaF
eE70goDtO/ooFCCeYkWKlGJ+9kMH9cy83rQhQTu5mwHV7S84A0ouQfAI6Z94CMg75iBEZ2Gmesg/
T9UcxAT2yCgqw+VKAk1WtTaH/SjKXBl0gwMCZn1UJ+ovEd06+ij4qEzQKaOfjaIGrSVg1ht/eqJH
oZm/JLeaJ/hwtM7PftXBBYEeRQDk5lM/PSeBhNqxN0MMGhlhAyV7zlGiC0AAPXlzOD5mkF/C2SO6
sD92EogtMVqC/+lEHSW9saPNAYo3QgZ59mN1uRczWD5G9B4Y6vysXfMJ3oxfkViCauNqQC+/fvbC
p0aOLeb6YCdP+SgOBXBfnmPDbslmucC5//go4EggYgiSv/XrJ3pBIO08+oKQWG5gZg/f+s4FoVMF
6xfqrI8X6CTrce348Cn6lwCWNikT3/zeBWE0KtYjkHtfW8WpZhL28VZBPS4otmZpgR1zQKZMg8cB
Ppr1c6JnMIMljsyxCZ9C7EzgnOZnv+QiB2fLRWzerV8/USfBtuDRToLE0RQ9O3AB87NfedGzwEnQ
uXxsd5+ik5hxbEdbBYU23/mmPXnQw4U/nAkhbAKbo1qncaeXUGx6zOsx88Pw5UXzHlq5aHhYFjik
+dlvz5h/CGlCQ9mImpzcGQCQ+gU3A1ACX7aAT4tn/wwMMDNiQ2WbVJ1q5SWGz0ffDAuKHTRi1j5C
FJl7oYMkAlzRNnas+4MnaBXHp9ostxE6QO5vcon9o8BJWAiHC8jc/KzrnJM7Cl14tyOtAjQFEEaQ
whsnsR9FSbrYnKGruUm117nLyR0FMh9HH4WY99Cyo/RYf+v7TTvgKjok/chIrF8/0YSCzPDoo0AC
moU6gwn4+tm3CkQfoX4V4J2H108xocDrH30UdCjwE0DRNrnTfm5lCLkF7oho+IrnRCMIQKpfcBRC
owIMyTNDDrCFAilAZbIJMfNvPDlfMS9/Hek2uQCyLdg8no0gLExAgbwtVteZzMkdBQIiR1vFnFGL
laVNYrEfTLkgiBMLcsH1BTnVklTI4R1pFVwAiykgn3Uvt+IF5qS2TIWzLdBO0l8KSoEjz0DkVmxM
mFDUzg8/cSfNBGWG1VG0b3KrUy3ANo78mAJM9OYgNgfJvz6K/YSCWQhjL1pWm9zqVEPHZgBxzFHQ
vEYHTlCXHJgDiYRMhD3t/uVMFX30zYAJHMZf9nXmZ99JcDM2KmQP5nKSTkLoNh5/FDLaPaQKD5nC
jpMwxWiMlWvmHfNzojeDydTRR6EgKcwqBq3K9bd+6C9ZAxL6W5vQcaJVx7wvcqRV0LBCBIeB6DOh
w6AWnbV1Hq3mJC+I2CQ4+ig4CYhXtlXFvlWYtDHXe17rC3KqUVQsJB59FKxKIvm4dZsc7o6vgGef
hSF2NTbF6skexfG5Fb6COpMG3TO+Yibk4WVkxufnRH0FK7FHWwVHYTgqhOibYLqfW+lCIA59kG03
80SrDkbYRx8Fc09ZOMZ5d44gsu8rxCAMEQrwu+sIc6pWITT0jvQVyh8IYCHisZ3uHI6IZbjsYR3Y
HMW6q356ZbnQ8zzyKASyhvQJnbC1L9g/CoD8tPpp4Z1qa8I53l+KhEIVm6T73oEiFRZgZqKbmLGO
UqdnBwdb5v8IS0N7X5AErO0AR7gTPilCQWbzv02ReqKOUhf8NEdeCbHFIDh9N0XFAYBEDEQZ+zws
dJxqJqGv3dYx9TgUVSKLAGW1Zw4EE2bGrEGd9rxnZmU+0hxATUDShVDsMz1cSJpsqN5gQD7pbAqF
qaNvBtkU8w1UYJ7tVMHEZ4nm/oMT4fBPzl8yl/gFR0FdhY/Y7jLtXxBybKbk8HJs8Own6iQ06/jW
BKGBIbjDateBk4DWkz3JE0+usedfYA4yc1B0k/ZTCJAjAmmHjuD6SpyqHQh6+CMdJXYAt8csV7b+
rAfmYFqqoDJav3qy6wvG8XGTwTjjXmht968ElYfgj5zpksUxrH/VyXlIKCmPNgeBNiRWKOjDzQ8G
tpdRcl8Qh4UzaH5O9GZAXXz0UQhNecCE4OjWR7HvJHRmn7A8skZ82qW3fryjpN6ECYgm9f4ZkGoK
aULontdncKIFxqGq4z+ptQgWDP5RT5wf7trOzaApBRxT4EXWr59oJ4bO2dE3Q5TegJIftqT32w+8
zmK9BkZi/ZxsBb72XsfUWmyzMBGnJ7tnDRwB5K+MwDYZxIleDGrmo60BjIhQBKdLuTb8/aMQjW3c
KCL2a2s40ZDBBPsXHAWkkVDWbzfF990lVSfFN97yRPtyqIYcfQZifUXswJJJzc8Paiz62fDzbIBm
awM8uWRKP9Axf3nI4CgEYRm602vL3zcHOpUkU49d3BO9GXyGo60CuIwOiSAoqR8fhVCigGbwYevv
RI9ipls8suIixYZ6Cta5zQXYtwr8KakWpfnGX55q9BRV85FHQWElppmCXHJ+DgsvQU6l0L96eP0k
W1Pq8SMdAOpARdBGXnvNA4INUDOORedqm16eqts8UKR5udskp9IJEVBRrc9iP9M22ODALqhI1q+f
bG51/AUhQmD/FBbPBFP1D9heaWBtV+JO9Cg06/hyHJQhJ4Eg+ePezk79BU0VRYmYfDxYzSn6CuAu
R7tNAOrgIwBcbptyB8UHFBzEjy3Cbv0bTy/FOpDheLmvmPEPpFjyM8FUp3NB6SFvfcmJJt7zsveR
wZQmjUEvF7jhwwXYuSDkHfP9MU8cSyVkI448CkpOToKOLf5w5wxEv8qAGBT4xPycqDkg43H0GQhz
IHYgj7Z3BrS5addRhG5S8VNNtQ/Exv6JdxAYMstQNya/n1/iHTgLFCA2mcapmsOB2MU/OQqhomdR
eqxT6f3G/sznJ5BTG+9xqlbhrFOcY3p21KIioUKdae9m6IDtUHZlHXC+ff/NAXOHXx0w5D/p1PEB
HzmiKTFoRdCOeCZWzirXOIZtLD3VZNL+FY06uraisFyHgR/sy7MBawhygc1fOAWD4GPv0b/qyro5
cNxtoOhECHZLpbLvI4XyCCy59rZGP1WrEGpUR6YNZEjcfWabz1wQUZhqIEi24eJEfSTF8y84Cojb
2OjabmPsN/X1PwRMxoYgeX1BTrYd8SuqLbb4WOHZjrMOIycMdzjN7UL9+vD/m4PHoa9g6f8XWIUM
oQTdl00Sse8rYKjCZMguT33qtb65x7lN+nV8VBho5mc/l6Azw4Y4BddpT71wZkdbBZ2ZGTzISt/6
OUirTGC3ONbHJtYpdmYABR59FDCqqJoh8FI/tgohEAcAd5t2iC7vSR6FECw7MpjO5IYqY7RNv26/
DBXSk4Ic1NiGmNM8CoBQRx8FW2xCSVjd7jPtu00o3MTWir7t551ov+5QFuoflaG6ieyyUGMWz/5R
GFgFPV70c9evvyCY/gsRF2Ef8be+Jvd31X/8PwAAAP//</cx:binary>
              </cx:geoCache>
            </cx:geography>
          </cx:layoutPr>
          <cx:valueColors>
            <cx:minColor>
              <a:schemeClr val="accent1">
                <a:lumMod val="20000"/>
                <a:lumOff val="80000"/>
              </a:schemeClr>
            </cx:minColor>
            <cx:midColor>
              <a:schemeClr val="accent4">
                <a:lumMod val="75000"/>
              </a:schemeClr>
            </cx:midColor>
          </cx:valueColors>
          <cx:valueColorPositions count="3">
            <cx:maxPosition>
              <cx:number val="8730000"/>
            </cx:maxPosition>
          </cx:valueColorPositions>
        </cx:series>
      </cx:plotAreaRegion>
    </cx:plotArea>
    <cx:legend pos="r" align="min" overlay="0"/>
  </cx:chart>
  <cx:spPr>
    <a:effectLst>
      <a:softEdge rad="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139700</xdr:rowOff>
    </xdr:from>
    <xdr:to>
      <xdr:col>14</xdr:col>
      <xdr:colOff>76200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715B79-D39E-F908-C3B5-3BEC9FFB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38100</xdr:rowOff>
    </xdr:from>
    <xdr:to>
      <xdr:col>14</xdr:col>
      <xdr:colOff>139700</xdr:colOff>
      <xdr:row>38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972B67-A855-5C1B-C101-35BCF9F63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0.20302</cdr:x>
      <cdr:y>0.02417</cdr:y>
    </cdr:from>
    <cdr:to>
      <cdr:x>0.71675</cdr:x>
      <cdr:y>0.20033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06E4391-DDA3-1F00-04F5-9BF6F0236372}"/>
            </a:ext>
          </a:extLst>
        </cdr:cNvPr>
        <cdr:cNvSpPr txBox="1"/>
      </cdr:nvSpPr>
      <cdr:spPr>
        <a:xfrm xmlns:a="http://schemas.openxmlformats.org/drawingml/2006/main">
          <a:off x="1741438" y="125461"/>
          <a:ext cx="440651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0.19293</cdr:x>
      <cdr:y>0.05012</cdr:y>
    </cdr:from>
    <cdr:to>
      <cdr:x>0.69881</cdr:x>
      <cdr:y>0.22628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260F89-79A1-2FA1-BDA8-2B634493E4F1}"/>
            </a:ext>
          </a:extLst>
        </cdr:cNvPr>
        <cdr:cNvSpPr txBox="1"/>
      </cdr:nvSpPr>
      <cdr:spPr>
        <a:xfrm xmlns:a="http://schemas.openxmlformats.org/drawingml/2006/main">
          <a:off x="1654847" y="260157"/>
          <a:ext cx="4339167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800" b="0" i="0" u="none" strike="noStrike">
              <a:effectLst/>
              <a:latin typeface="+mn-lt"/>
              <a:ea typeface="+mn-ea"/>
              <a:cs typeface="+mn-cs"/>
            </a:rPr>
            <a:t>Elite Buyers Spend Up To</a:t>
          </a:r>
          <a:r>
            <a:rPr lang="en-US" sz="1800" b="0" i="0" u="none" strike="noStrike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800" b="0" i="0" u="none" strike="noStrike">
              <a:effectLst/>
              <a:latin typeface="+mn-lt"/>
              <a:ea typeface="+mn-ea"/>
              <a:cs typeface="+mn-cs"/>
            </a:rPr>
            <a:t>10x the Average Store Transaction</a:t>
          </a:r>
          <a:endParaRPr lang="en-US" sz="18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17</xdr:row>
      <xdr:rowOff>31750</xdr:rowOff>
    </xdr:from>
    <xdr:to>
      <xdr:col>18</xdr:col>
      <xdr:colOff>127000</xdr:colOff>
      <xdr:row>51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EDAE34-75FB-4E80-79BF-BB19B04A3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0.31585</cdr:x>
      <cdr:y>0.01745</cdr:y>
    </cdr:from>
    <cdr:to>
      <cdr:x>0.68638</cdr:x>
      <cdr:y>0.13131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ECC97D9-2F41-2346-0B2A-2B9C1D79B15A}"/>
            </a:ext>
          </a:extLst>
        </cdr:cNvPr>
        <cdr:cNvSpPr txBox="1"/>
      </cdr:nvSpPr>
      <cdr:spPr>
        <a:xfrm xmlns:a="http://schemas.openxmlformats.org/drawingml/2006/main">
          <a:off x="3594100" y="120650"/>
          <a:ext cx="4216400" cy="787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0.14844</cdr:x>
      <cdr:y>0.02663</cdr:y>
    </cdr:from>
    <cdr:to>
      <cdr:x>0.87612</cdr:x>
      <cdr:y>0.12397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55FEBFD-22FF-9391-1A8F-806F50B0FA4D}"/>
            </a:ext>
          </a:extLst>
        </cdr:cNvPr>
        <cdr:cNvSpPr txBox="1"/>
      </cdr:nvSpPr>
      <cdr:spPr>
        <a:xfrm xmlns:a="http://schemas.openxmlformats.org/drawingml/2006/main">
          <a:off x="1689100" y="184150"/>
          <a:ext cx="8280400" cy="673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 kern="1200" baseline="0">
              <a:solidFill>
                <a:srgbClr val="C00000"/>
              </a:solidFill>
            </a:rPr>
            <a:t> ! We Make Over </a:t>
          </a:r>
          <a:r>
            <a:rPr lang="en-US" sz="2000" u="dbl" kern="1200" baseline="0">
              <a:solidFill>
                <a:srgbClr val="C00000"/>
              </a:solidFill>
            </a:rPr>
            <a:t>4 TIMES LESS</a:t>
          </a:r>
          <a:r>
            <a:rPr lang="en-US" sz="2000" kern="1200" baseline="0">
              <a:solidFill>
                <a:srgbClr val="C00000"/>
              </a:solidFill>
            </a:rPr>
            <a:t> In Our Dead Month Compared to Our Peak Month! </a:t>
          </a:r>
          <a:endParaRPr lang="en-US" sz="2000" kern="1200">
            <a:solidFill>
              <a:srgbClr val="C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13</xdr:row>
      <xdr:rowOff>139700</xdr:rowOff>
    </xdr:from>
    <xdr:to>
      <xdr:col>10</xdr:col>
      <xdr:colOff>1016000</xdr:colOff>
      <xdr:row>43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1BDDC1-DD35-005C-1887-70041EED3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0.14839</cdr:x>
      <cdr:y>0.06157</cdr:y>
    </cdr:from>
    <cdr:to>
      <cdr:x>0.72581</cdr:x>
      <cdr:y>0.21444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D32FD3-3F52-B717-AD08-C2FD125BBB49}"/>
            </a:ext>
          </a:extLst>
        </cdr:cNvPr>
        <cdr:cNvSpPr txBox="1"/>
      </cdr:nvSpPr>
      <cdr:spPr>
        <a:xfrm xmlns:a="http://schemas.openxmlformats.org/drawingml/2006/main">
          <a:off x="1168400" y="368300"/>
          <a:ext cx="45466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 kern="1200"/>
            <a:t>Sazerac</a:t>
          </a:r>
          <a:r>
            <a:rPr lang="en-US" sz="2000" kern="1200" baseline="0"/>
            <a:t> Cannot Capitalize Top 10 Categories</a:t>
          </a:r>
          <a:endParaRPr lang="en-US" sz="2000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336550</xdr:colOff>
      <xdr:row>8</xdr:row>
      <xdr:rowOff>88900</xdr:rowOff>
    </xdr:from>
    <xdr:to>
      <xdr:col>10</xdr:col>
      <xdr:colOff>2006600</xdr:colOff>
      <xdr:row>30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633D75-9FC8-EB4A-A365-922E0798D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364138</xdr:colOff>
      <xdr:row>2</xdr:row>
      <xdr:rowOff>121478</xdr:rowOff>
    </xdr:from>
    <xdr:to>
      <xdr:col>22</xdr:col>
      <xdr:colOff>364435</xdr:colOff>
      <xdr:row>23</xdr:row>
      <xdr:rowOff>183690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1B30C-72B5-01DD-27BE-CEB3B6CCD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0.32443</cdr:x>
      <cdr:y>0.03</cdr:y>
    </cdr:from>
    <cdr:to>
      <cdr:x>0.78603</cdr:x>
      <cdr:y>0.11183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95DF7D-16A2-F2D4-7815-210B10DF4AEF}"/>
            </a:ext>
          </a:extLst>
        </cdr:cNvPr>
        <cdr:cNvSpPr txBox="1"/>
      </cdr:nvSpPr>
      <cdr:spPr>
        <a:xfrm xmlns:a="http://schemas.openxmlformats.org/drawingml/2006/main">
          <a:off x="4152644" y="121478"/>
          <a:ext cx="5908261" cy="331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0.33392</cdr:x>
      <cdr:y>0.03128</cdr:y>
    </cdr:from>
    <cdr:to>
      <cdr:x>0.75928</cdr:x>
      <cdr:y>0.14076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31B282B-2F36-2C65-929E-67D63AC8A393}"/>
            </a:ext>
          </a:extLst>
        </cdr:cNvPr>
        <cdr:cNvSpPr txBox="1"/>
      </cdr:nvSpPr>
      <cdr:spPr>
        <a:xfrm xmlns:a="http://schemas.openxmlformats.org/drawingml/2006/main">
          <a:off x="4274123" y="132522"/>
          <a:ext cx="5444434" cy="4638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0.31322</cdr:x>
      <cdr:y>0.03649</cdr:y>
    </cdr:from>
    <cdr:to>
      <cdr:x>0.69802</cdr:x>
      <cdr:y>0.13033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B45E7AF-C9F6-D685-849C-1A12BF76FE16}"/>
            </a:ext>
          </a:extLst>
        </cdr:cNvPr>
        <cdr:cNvSpPr txBox="1"/>
      </cdr:nvSpPr>
      <cdr:spPr>
        <a:xfrm xmlns:a="http://schemas.openxmlformats.org/drawingml/2006/main">
          <a:off x="4009078" y="154609"/>
          <a:ext cx="4925391" cy="397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8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They Have the Budget. We Don't Have the Shelf Space. YET.</a:t>
          </a:r>
          <a:endParaRPr lang="en-US" sz="1800" kern="1200">
            <a:solidFill>
              <a:schemeClr val="tx1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337731</xdr:colOff>
      <xdr:row>1</xdr:row>
      <xdr:rowOff>14176</xdr:rowOff>
    </xdr:from>
    <xdr:to>
      <xdr:col>8</xdr:col>
      <xdr:colOff>766988</xdr:colOff>
      <xdr:row>14</xdr:row>
      <xdr:rowOff>91165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E1E7AAF-EDEE-548F-F614-044828F81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8200" y="219228"/>
              <a:ext cx="4563371" cy="2742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4</xdr:col>
      <xdr:colOff>328449</xdr:colOff>
      <xdr:row>15</xdr:row>
      <xdr:rowOff>197069</xdr:rowOff>
    </xdr:from>
    <xdr:ext cx="2204253" cy="26443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0DFFEA-3A8C-D1AD-CF96-E2DB5E71124E}"/>
            </a:ext>
          </a:extLst>
        </xdr:cNvPr>
        <xdr:cNvSpPr txBox="1"/>
      </xdr:nvSpPr>
      <xdr:spPr>
        <a:xfrm>
          <a:off x="3627529" y="3262586"/>
          <a:ext cx="2204253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1333500</xdr:colOff>
      <xdr:row>15</xdr:row>
      <xdr:rowOff>6350</xdr:rowOff>
    </xdr:from>
    <xdr:to>
      <xdr:col>6</xdr:col>
      <xdr:colOff>977900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1DF32-5BC8-B454-DA90-24F26C744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42.502131018518" createdVersion="8" refreshedVersion="8" minRefreshableVersion="3" recordCount="20" xr:uid="{B9BEC2DC-26D9-1142-A2F9-940C6DF1A5A4}">
  <cacheSource type="worksheet">
    <worksheetSource ref="B1:E21" sheet="O- big spenders"/>
  </cacheSource>
  <cacheFields count="4">
    <cacheField name="Store ID" numFmtId="0">
      <sharedItems containsSemiMixedTypes="0" containsString="0" containsNumber="1" containsInteger="1" minValue="4095" maxValue="5094" count="20">
        <n v="4765"/>
        <n v="4834"/>
        <n v="5086"/>
        <n v="4503"/>
        <n v="5016"/>
        <n v="4994"/>
        <n v="4716"/>
        <n v="5056"/>
        <n v="4961"/>
        <n v="5082"/>
        <n v="5078"/>
        <n v="5081"/>
        <n v="5094"/>
        <n v="5069"/>
        <n v="5079"/>
        <n v="4657"/>
        <n v="4529"/>
        <n v="4871"/>
        <n v="5006"/>
        <n v="4095"/>
      </sharedItems>
    </cacheField>
    <cacheField name="sum-general" numFmtId="0">
      <sharedItems containsSemiMixedTypes="0" containsString="0" containsNumber="1" minValue="1098.45" maxValue="27700.1"/>
    </cacheField>
    <cacheField name="sum-sazerac" numFmtId="0">
      <sharedItems containsSemiMixedTypes="0" containsString="0" containsNumber="1" minValue="22.32" maxValue="187.76"/>
    </cacheField>
    <cacheField name="avg-total" numFmtId="0">
      <sharedItems containsString="0" containsBlank="1" containsNumber="1" minValue="129.80000000000001" maxValue="129.80000000000001" count="2">
        <n v="129.800000000000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42.656226736108" createdVersion="8" refreshedVersion="8" minRefreshableVersion="3" recordCount="132" xr:uid="{874E0EE5-080D-E444-9F84-3DC2CA0CE93A}">
  <cacheSource type="worksheet">
    <worksheetSource ref="A1:C133" sheet="W-top10_perf_monthly"/>
  </cacheSource>
  <cacheFields count="5">
    <cacheField name="stores" numFmtId="0">
      <sharedItems containsMixedTypes="1" containsNumber="1" containsInteger="1" minValue="2512" maxValue="4829" count="11">
        <n v="4829"/>
        <n v="2633"/>
        <n v="3385"/>
        <n v="3420"/>
        <n v="3524"/>
        <n v="2512"/>
        <n v="3494"/>
        <n v="3354"/>
        <n v="3952"/>
        <n v="2625"/>
        <s v="average"/>
      </sharedItems>
    </cacheField>
    <cacheField name="month" numFmtId="22">
      <sharedItems containsSemiMixedTypes="0" containsNonDate="0" containsDate="1" containsString="0" minDate="2014-01-01T00:00:00" maxDate="2014-12-02T00:00:00" count="12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</sharedItems>
      <fieldGroup par="4"/>
    </cacheField>
    <cacheField name="total revenue" numFmtId="0">
      <sharedItems containsSemiMixedTypes="0" containsString="0" containsNumber="1" minValue="1015.85" maxValue="201371.14"/>
    </cacheField>
    <cacheField name="Days (month)" numFmtId="0" databaseField="0">
      <fieldGroup base="1">
        <rangePr groupBy="days" startDate="2014-01-01T00:00:00" endDate="2014-12-02T00:00:00"/>
        <groupItems count="368">
          <s v="&lt;1/1/1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14"/>
        </groupItems>
      </fieldGroup>
    </cacheField>
    <cacheField name="Months (month)" numFmtId="0" databaseField="0">
      <fieldGroup base="1">
        <rangePr groupBy="months" startDate="2014-01-01T00:00:00" endDate="2014-12-02T00:00:00"/>
        <groupItems count="14">
          <s v="&lt;1/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42.856648611109" createdVersion="8" refreshedVersion="8" minRefreshableVersion="3" recordCount="10" xr:uid="{9B6DA3C6-323E-5444-999F-3BA6EEF9AB77}">
  <cacheSource type="worksheet">
    <worksheetSource ref="A1:C11" sheet="W-top10 category share"/>
  </cacheSource>
  <cacheFields count="3">
    <cacheField name="Top 10 Best Selling Categories" numFmtId="0">
      <sharedItems count="10">
        <s v="CANADIAN WHISKIES"/>
        <s v="80 PROOF VODKA"/>
        <s v="SPICED RUM"/>
        <s v="IMPORTED VODKA"/>
        <s v="TEQUILA"/>
        <s v="STRAIGHT BOURBON WHISKIES"/>
        <s v="WHISKEY LIQUEUR"/>
        <s v="TENNESSEE WHISKIES"/>
        <s v="PUERTO RICO &amp; VIRGIN ISLANDS RUM"/>
        <s v="BLENDED WHISKIES"/>
      </sharedItems>
    </cacheField>
    <cacheField name="Total Revenue" numFmtId="0">
      <sharedItems containsSemiMixedTypes="0" containsString="0" containsNumber="1" minValue="12037250.550000001" maxValue="48053061.909999996"/>
    </cacheField>
    <cacheField name="Sazerac Revenue" numFmtId="0">
      <sharedItems containsSemiMixedTypes="0" containsString="0" containsNumber="1" minValue="0" maxValue="13217102.53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42.966916087964" createdVersion="8" refreshedVersion="8" minRefreshableVersion="3" recordCount="10" xr:uid="{77A19F50-39D9-5B43-B6DF-76ECEC194B12}">
  <cacheSource type="worksheet">
    <worksheetSource ref="A1:C11" sheet="S -big vol wholesale "/>
  </cacheSource>
  <cacheFields count="3">
    <cacheField name="avg" numFmtId="0">
      <sharedItems containsSemiMixedTypes="0" containsString="0" containsNumber="1" minValue="682.51198083067004" maxValue="1347.0508893280601"/>
    </cacheField>
    <cacheField name="store" numFmtId="0">
      <sharedItems containsSemiMixedTypes="0" containsString="0" containsNumber="1" containsInteger="1" minValue="2633" maxValue="4829" count="10">
        <n v="3420"/>
        <n v="3385"/>
        <n v="3524"/>
        <n v="3814"/>
        <n v="3477"/>
        <n v="3521"/>
        <n v="3494"/>
        <n v="4829"/>
        <n v="2633"/>
        <n v="3354"/>
      </sharedItems>
    </cacheField>
    <cacheField name="transaction_avg" numFmtId="0">
      <sharedItems containsSemiMixedTypes="0" containsString="0" containsNumber="1" minValue="129.80000000000001" maxValue="129.80000000000001" count="1">
        <n v="129.80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43.21069965278" createdVersion="8" refreshedVersion="8" minRefreshableVersion="3" recordCount="10" xr:uid="{4ECD7719-B2F0-AD42-8F31-D4F5614E6B3A}">
  <cacheSource type="worksheet">
    <worksheetSource ref="A1:B11" sheet="T-top competetitor"/>
  </cacheSource>
  <cacheFields count="2">
    <cacheField name="Vendor" numFmtId="0">
      <sharedItems count="10">
        <s v="Diageo"/>
        <s v="Sazerac"/>
        <s v="Jim Beam"/>
        <s v="Pernod Ricard Usa/austin Nichols"/>
        <s v="Luxco-st Louis"/>
        <s v="Constellation Wine Company Inc."/>
        <s v="Brown-forman Corporation"/>
        <s v="Bacardi"/>
        <s v="Phillips Beverage Company"/>
        <s v="Proximo"/>
      </sharedItems>
    </cacheField>
    <cacheField name="Total Revenue" numFmtId="0">
      <sharedItems containsSemiMixedTypes="0" containsString="0" containsNumber="1" minValue="11941208.48" maxValue="84255873.62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4421.95"/>
    <n v="22.32"/>
    <x v="0"/>
  </r>
  <r>
    <x v="1"/>
    <n v="9825.56"/>
    <n v="44.58"/>
    <x v="1"/>
  </r>
  <r>
    <x v="2"/>
    <n v="4528.68"/>
    <n v="44.58"/>
    <x v="1"/>
  </r>
  <r>
    <x v="3"/>
    <n v="24571.08"/>
    <n v="44.58"/>
    <x v="1"/>
  </r>
  <r>
    <x v="4"/>
    <n v="3740.73"/>
    <n v="60"/>
    <x v="1"/>
  </r>
  <r>
    <x v="5"/>
    <n v="27700.1"/>
    <n v="64"/>
    <x v="1"/>
  </r>
  <r>
    <x v="6"/>
    <n v="16240.92"/>
    <n v="80.16"/>
    <x v="1"/>
  </r>
  <r>
    <x v="7"/>
    <n v="1233.3399999999999"/>
    <n v="89.16"/>
    <x v="1"/>
  </r>
  <r>
    <x v="8"/>
    <n v="13712.15"/>
    <n v="96"/>
    <x v="1"/>
  </r>
  <r>
    <x v="9"/>
    <n v="3556.53"/>
    <n v="104.82"/>
    <x v="1"/>
  </r>
  <r>
    <x v="10"/>
    <n v="3556.53"/>
    <n v="104.82"/>
    <x v="1"/>
  </r>
  <r>
    <x v="11"/>
    <n v="3556.53"/>
    <n v="104.82"/>
    <x v="1"/>
  </r>
  <r>
    <x v="12"/>
    <n v="4794.6400000000003"/>
    <n v="104.82"/>
    <x v="1"/>
  </r>
  <r>
    <x v="13"/>
    <n v="4858.8900000000003"/>
    <n v="104.82"/>
    <x v="1"/>
  </r>
  <r>
    <x v="14"/>
    <n v="3556.53"/>
    <n v="104.82"/>
    <x v="1"/>
  </r>
  <r>
    <x v="15"/>
    <n v="26733.439999999999"/>
    <n v="156.12"/>
    <x v="1"/>
  </r>
  <r>
    <x v="16"/>
    <n v="15276.58"/>
    <n v="161.63999999999999"/>
    <x v="1"/>
  </r>
  <r>
    <x v="17"/>
    <n v="1098.45"/>
    <n v="164.52"/>
    <x v="1"/>
  </r>
  <r>
    <x v="18"/>
    <n v="5997.65"/>
    <n v="166.88"/>
    <x v="1"/>
  </r>
  <r>
    <x v="19"/>
    <n v="12741.48"/>
    <n v="187.7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x v="0"/>
    <n v="161734.66"/>
  </r>
  <r>
    <x v="1"/>
    <x v="0"/>
    <n v="160216.66"/>
  </r>
  <r>
    <x v="2"/>
    <x v="0"/>
    <n v="99235.08"/>
  </r>
  <r>
    <x v="3"/>
    <x v="0"/>
    <n v="94535.52"/>
  </r>
  <r>
    <x v="4"/>
    <x v="0"/>
    <n v="82064.88"/>
  </r>
  <r>
    <x v="5"/>
    <x v="0"/>
    <n v="62946.720000000001"/>
  </r>
  <r>
    <x v="6"/>
    <x v="0"/>
    <n v="49065.48"/>
  </r>
  <r>
    <x v="7"/>
    <x v="0"/>
    <n v="45786.36"/>
  </r>
  <r>
    <x v="8"/>
    <x v="0"/>
    <n v="42945.8"/>
  </r>
  <r>
    <x v="9"/>
    <x v="0"/>
    <n v="39862.76"/>
  </r>
  <r>
    <x v="1"/>
    <x v="1"/>
    <n v="163008.56"/>
  </r>
  <r>
    <x v="0"/>
    <x v="1"/>
    <n v="156945.06"/>
  </r>
  <r>
    <x v="2"/>
    <x v="1"/>
    <n v="69093.440000000002"/>
  </r>
  <r>
    <x v="8"/>
    <x v="1"/>
    <n v="54344.28"/>
  </r>
  <r>
    <x v="5"/>
    <x v="1"/>
    <n v="53826.12"/>
  </r>
  <r>
    <x v="9"/>
    <x v="1"/>
    <n v="38874.78"/>
  </r>
  <r>
    <x v="6"/>
    <x v="1"/>
    <n v="35285.72"/>
  </r>
  <r>
    <x v="3"/>
    <x v="1"/>
    <n v="24189.48"/>
  </r>
  <r>
    <x v="7"/>
    <x v="1"/>
    <n v="21092.400000000001"/>
  </r>
  <r>
    <x v="4"/>
    <x v="1"/>
    <n v="8410.32"/>
  </r>
  <r>
    <x v="1"/>
    <x v="2"/>
    <n v="193396.7"/>
  </r>
  <r>
    <x v="0"/>
    <x v="2"/>
    <n v="178812.98"/>
  </r>
  <r>
    <x v="2"/>
    <x v="2"/>
    <n v="146342.28"/>
  </r>
  <r>
    <x v="3"/>
    <x v="2"/>
    <n v="104166.24"/>
  </r>
  <r>
    <x v="8"/>
    <x v="2"/>
    <n v="66099"/>
  </r>
  <r>
    <x v="6"/>
    <x v="2"/>
    <n v="62017.56"/>
  </r>
  <r>
    <x v="7"/>
    <x v="2"/>
    <n v="61192.08"/>
  </r>
  <r>
    <x v="5"/>
    <x v="2"/>
    <n v="54097.86"/>
  </r>
  <r>
    <x v="9"/>
    <x v="2"/>
    <n v="44769.760000000002"/>
  </r>
  <r>
    <x v="4"/>
    <x v="2"/>
    <n v="28235.279999999999"/>
  </r>
  <r>
    <x v="1"/>
    <x v="3"/>
    <n v="201371.14"/>
  </r>
  <r>
    <x v="0"/>
    <x v="3"/>
    <n v="164408.20000000001"/>
  </r>
  <r>
    <x v="2"/>
    <x v="3"/>
    <n v="75138.600000000006"/>
  </r>
  <r>
    <x v="8"/>
    <x v="3"/>
    <n v="67234.34"/>
  </r>
  <r>
    <x v="5"/>
    <x v="3"/>
    <n v="61318.18"/>
  </r>
  <r>
    <x v="3"/>
    <x v="3"/>
    <n v="48603.16"/>
  </r>
  <r>
    <x v="9"/>
    <x v="3"/>
    <n v="48560.56"/>
  </r>
  <r>
    <x v="6"/>
    <x v="3"/>
    <n v="37897.32"/>
  </r>
  <r>
    <x v="7"/>
    <x v="3"/>
    <n v="25260.36"/>
  </r>
  <r>
    <x v="4"/>
    <x v="3"/>
    <n v="23131.32"/>
  </r>
  <r>
    <x v="0"/>
    <x v="4"/>
    <n v="188383.4"/>
  </r>
  <r>
    <x v="1"/>
    <x v="4"/>
    <n v="161225.34"/>
  </r>
  <r>
    <x v="2"/>
    <x v="4"/>
    <n v="84311.28"/>
  </r>
  <r>
    <x v="5"/>
    <x v="4"/>
    <n v="70656.899999999994"/>
  </r>
  <r>
    <x v="3"/>
    <x v="4"/>
    <n v="65363.040000000001"/>
  </r>
  <r>
    <x v="8"/>
    <x v="4"/>
    <n v="58734.46"/>
  </r>
  <r>
    <x v="7"/>
    <x v="4"/>
    <n v="54814.2"/>
  </r>
  <r>
    <x v="4"/>
    <x v="4"/>
    <n v="47182.44"/>
  </r>
  <r>
    <x v="6"/>
    <x v="4"/>
    <n v="42676.92"/>
  </r>
  <r>
    <x v="9"/>
    <x v="4"/>
    <n v="40615.08"/>
  </r>
  <r>
    <x v="0"/>
    <x v="5"/>
    <n v="83636.08"/>
  </r>
  <r>
    <x v="2"/>
    <x v="5"/>
    <n v="83578.33"/>
  </r>
  <r>
    <x v="1"/>
    <x v="5"/>
    <n v="65491.81"/>
  </r>
  <r>
    <x v="3"/>
    <x v="5"/>
    <n v="45867.12"/>
  </r>
  <r>
    <x v="7"/>
    <x v="5"/>
    <n v="33826.199999999997"/>
  </r>
  <r>
    <x v="6"/>
    <x v="5"/>
    <n v="33245.339999999997"/>
  </r>
  <r>
    <x v="5"/>
    <x v="5"/>
    <n v="29698.86"/>
  </r>
  <r>
    <x v="8"/>
    <x v="5"/>
    <n v="28730.79"/>
  </r>
  <r>
    <x v="9"/>
    <x v="5"/>
    <n v="26261.57"/>
  </r>
  <r>
    <x v="4"/>
    <x v="5"/>
    <n v="23154.959999999999"/>
  </r>
  <r>
    <x v="1"/>
    <x v="6"/>
    <n v="103177.52"/>
  </r>
  <r>
    <x v="0"/>
    <x v="6"/>
    <n v="89695.85"/>
  </r>
  <r>
    <x v="3"/>
    <x v="6"/>
    <n v="44057.64"/>
  </r>
  <r>
    <x v="2"/>
    <x v="6"/>
    <n v="43183.38"/>
  </r>
  <r>
    <x v="8"/>
    <x v="6"/>
    <n v="34038.22"/>
  </r>
  <r>
    <x v="5"/>
    <x v="6"/>
    <n v="27010.17"/>
  </r>
  <r>
    <x v="7"/>
    <x v="6"/>
    <n v="25508.639999999999"/>
  </r>
  <r>
    <x v="4"/>
    <x v="6"/>
    <n v="22490.28"/>
  </r>
  <r>
    <x v="6"/>
    <x v="6"/>
    <n v="21797.16"/>
  </r>
  <r>
    <x v="9"/>
    <x v="6"/>
    <n v="21682.799999999999"/>
  </r>
  <r>
    <x v="0"/>
    <x v="7"/>
    <n v="82526.42"/>
  </r>
  <r>
    <x v="1"/>
    <x v="7"/>
    <n v="82495.710000000006"/>
  </r>
  <r>
    <x v="2"/>
    <x v="7"/>
    <n v="69011.820000000007"/>
  </r>
  <r>
    <x v="3"/>
    <x v="7"/>
    <n v="51868.62"/>
  </r>
  <r>
    <x v="7"/>
    <x v="7"/>
    <n v="42552"/>
  </r>
  <r>
    <x v="8"/>
    <x v="7"/>
    <n v="33396.9"/>
  </r>
  <r>
    <x v="5"/>
    <x v="7"/>
    <n v="32053.360000000001"/>
  </r>
  <r>
    <x v="6"/>
    <x v="7"/>
    <n v="29599.8"/>
  </r>
  <r>
    <x v="4"/>
    <x v="7"/>
    <n v="22454.639999999999"/>
  </r>
  <r>
    <x v="9"/>
    <x v="7"/>
    <n v="19508.78"/>
  </r>
  <r>
    <x v="0"/>
    <x v="8"/>
    <n v="80972.39"/>
  </r>
  <r>
    <x v="1"/>
    <x v="8"/>
    <n v="80119.12"/>
  </r>
  <r>
    <x v="5"/>
    <x v="8"/>
    <n v="42202.77"/>
  </r>
  <r>
    <x v="2"/>
    <x v="8"/>
    <n v="39947.64"/>
  </r>
  <r>
    <x v="3"/>
    <x v="8"/>
    <n v="33530.1"/>
  </r>
  <r>
    <x v="4"/>
    <x v="8"/>
    <n v="30215.52"/>
  </r>
  <r>
    <x v="8"/>
    <x v="8"/>
    <n v="29462.74"/>
  </r>
  <r>
    <x v="6"/>
    <x v="8"/>
    <n v="21839.7"/>
  </r>
  <r>
    <x v="9"/>
    <x v="8"/>
    <n v="20542.54"/>
  </r>
  <r>
    <x v="7"/>
    <x v="8"/>
    <n v="19576.62"/>
  </r>
  <r>
    <x v="0"/>
    <x v="9"/>
    <n v="94814.81"/>
  </r>
  <r>
    <x v="1"/>
    <x v="9"/>
    <n v="85912.01"/>
  </r>
  <r>
    <x v="2"/>
    <x v="9"/>
    <n v="57383.58"/>
  </r>
  <r>
    <x v="5"/>
    <x v="9"/>
    <n v="56406.66"/>
  </r>
  <r>
    <x v="3"/>
    <x v="9"/>
    <n v="49031.040000000001"/>
  </r>
  <r>
    <x v="8"/>
    <x v="9"/>
    <n v="35456.76"/>
  </r>
  <r>
    <x v="9"/>
    <x v="9"/>
    <n v="35350.99"/>
  </r>
  <r>
    <x v="7"/>
    <x v="9"/>
    <n v="27148.32"/>
  </r>
  <r>
    <x v="6"/>
    <x v="9"/>
    <n v="23294.58"/>
  </r>
  <r>
    <x v="4"/>
    <x v="9"/>
    <n v="21351.360000000001"/>
  </r>
  <r>
    <x v="0"/>
    <x v="10"/>
    <n v="76077.22"/>
  </r>
  <r>
    <x v="1"/>
    <x v="10"/>
    <n v="74358.03"/>
  </r>
  <r>
    <x v="2"/>
    <x v="10"/>
    <n v="51899.64"/>
  </r>
  <r>
    <x v="6"/>
    <x v="10"/>
    <n v="31033.02"/>
  </r>
  <r>
    <x v="3"/>
    <x v="10"/>
    <n v="26891.16"/>
  </r>
  <r>
    <x v="5"/>
    <x v="10"/>
    <n v="25974.91"/>
  </r>
  <r>
    <x v="8"/>
    <x v="10"/>
    <n v="25261.05"/>
  </r>
  <r>
    <x v="7"/>
    <x v="10"/>
    <n v="21196.32"/>
  </r>
  <r>
    <x v="9"/>
    <x v="10"/>
    <n v="20648.77"/>
  </r>
  <r>
    <x v="4"/>
    <x v="10"/>
    <n v="17958.12"/>
  </r>
  <r>
    <x v="2"/>
    <x v="11"/>
    <n v="47392.62"/>
  </r>
  <r>
    <x v="3"/>
    <x v="11"/>
    <n v="37120.379999999997"/>
  </r>
  <r>
    <x v="0"/>
    <x v="11"/>
    <n v="30634.97"/>
  </r>
  <r>
    <x v="1"/>
    <x v="11"/>
    <n v="28909.88"/>
  </r>
  <r>
    <x v="4"/>
    <x v="11"/>
    <n v="18407.46"/>
  </r>
  <r>
    <x v="6"/>
    <x v="11"/>
    <n v="16110.36"/>
  </r>
  <r>
    <x v="5"/>
    <x v="11"/>
    <n v="14475.15"/>
  </r>
  <r>
    <x v="8"/>
    <x v="11"/>
    <n v="14204.4"/>
  </r>
  <r>
    <x v="7"/>
    <x v="11"/>
    <n v="11378.94"/>
  </r>
  <r>
    <x v="9"/>
    <x v="11"/>
    <n v="8493.2900000000009"/>
  </r>
  <r>
    <x v="10"/>
    <x v="0"/>
    <n v="3617.59"/>
  </r>
  <r>
    <x v="10"/>
    <x v="1"/>
    <n v="3357.75"/>
  </r>
  <r>
    <x v="10"/>
    <x v="2"/>
    <n v="3721.51"/>
  </r>
  <r>
    <x v="10"/>
    <x v="3"/>
    <n v="4021.04"/>
  </r>
  <r>
    <x v="10"/>
    <x v="4"/>
    <n v="3703.92"/>
  </r>
  <r>
    <x v="10"/>
    <x v="5"/>
    <n v="2074.34"/>
  </r>
  <r>
    <x v="10"/>
    <x v="6"/>
    <n v="2062.84"/>
  </r>
  <r>
    <x v="10"/>
    <x v="7"/>
    <n v="2083.16"/>
  </r>
  <r>
    <x v="10"/>
    <x v="8"/>
    <n v="2062.7399999999998"/>
  </r>
  <r>
    <x v="10"/>
    <x v="9"/>
    <n v="2316.36"/>
  </r>
  <r>
    <x v="10"/>
    <x v="10"/>
    <n v="1870.29"/>
  </r>
  <r>
    <x v="10"/>
    <x v="11"/>
    <n v="1015.8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8053061.909999996"/>
    <n v="2906800.2"/>
  </r>
  <r>
    <x v="1"/>
    <n v="48045532.509999998"/>
    <n v="6963649.9800000004"/>
  </r>
  <r>
    <x v="2"/>
    <n v="31600618.5"/>
    <n v="54876.42"/>
  </r>
  <r>
    <x v="3"/>
    <n v="23879524.629999999"/>
    <n v="1140"/>
  </r>
  <r>
    <x v="4"/>
    <n v="21411263.640000001"/>
    <n v="1571728.53"/>
  </r>
  <r>
    <x v="5"/>
    <n v="20924480.190000001"/>
    <n v="2735367.09"/>
  </r>
  <r>
    <x v="6"/>
    <n v="19339201.420000002"/>
    <n v="13217102.539999999"/>
  </r>
  <r>
    <x v="7"/>
    <n v="17647970.350000001"/>
    <n v="0"/>
  </r>
  <r>
    <x v="8"/>
    <n v="12729072.76"/>
    <n v="193326"/>
  </r>
  <r>
    <x v="9"/>
    <n v="12037250.550000001"/>
    <n v="92084.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347.0508893280601"/>
    <x v="0"/>
    <x v="0"/>
  </r>
  <r>
    <n v="1033.87657667386"/>
    <x v="1"/>
    <x v="0"/>
  </r>
  <r>
    <n v="959.15508951406605"/>
    <x v="2"/>
    <x v="0"/>
  </r>
  <r>
    <n v="871.28330578512305"/>
    <x v="3"/>
    <x v="0"/>
  </r>
  <r>
    <n v="844.70392405063205"/>
    <x v="4"/>
    <x v="0"/>
  </r>
  <r>
    <n v="740.31290322580605"/>
    <x v="5"/>
    <x v="0"/>
  </r>
  <r>
    <n v="730.92701754385905"/>
    <x v="6"/>
    <x v="0"/>
  </r>
  <r>
    <n v="728.41325493885199"/>
    <x v="7"/>
    <x v="0"/>
  </r>
  <r>
    <n v="693.81285522187295"/>
    <x v="8"/>
    <x v="0"/>
  </r>
  <r>
    <n v="682.51198083067004"/>
    <x v="9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84255873.620000005"/>
  </r>
  <r>
    <x v="1"/>
    <n v="37309997.75"/>
  </r>
  <r>
    <x v="2"/>
    <n v="31772152.16"/>
  </r>
  <r>
    <x v="3"/>
    <n v="28157424.530000001"/>
  </r>
  <r>
    <x v="4"/>
    <n v="27244119.390000001"/>
  </r>
  <r>
    <x v="5"/>
    <n v="26674158.789999999"/>
  </r>
  <r>
    <x v="6"/>
    <n v="25492453.899999999"/>
  </r>
  <r>
    <x v="7"/>
    <n v="21225271.219999999"/>
  </r>
  <r>
    <x v="8"/>
    <n v="12429757.59"/>
  </r>
  <r>
    <x v="9"/>
    <n v="11941208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7BF09-7D6E-284A-805A-83572770859A}" name="PivotTable16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:H12" firstHeaderRow="0" firstDataRow="1" firstDataCol="1"/>
  <pivotFields count="3">
    <pivotField dataField="1" showAll="0"/>
    <pivotField axis="axisRow" showAll="0">
      <items count="11">
        <item x="8"/>
        <item x="9"/>
        <item x="1"/>
        <item x="0"/>
        <item x="4"/>
        <item x="6"/>
        <item x="5"/>
        <item x="2"/>
        <item x="3"/>
        <item x="7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" fld="0" baseField="0" baseItem="0"/>
    <dataField name="Sum of transaction_avg" fld="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821B8-6D90-5645-8286-00643C646A31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:R16" firstHeaderRow="1" firstDataRow="2" firstDataCol="1"/>
  <pivotFields count="5">
    <pivotField axis="axisCol" showAll="0">
      <items count="12">
        <item x="5"/>
        <item x="9"/>
        <item x="1"/>
        <item x="7"/>
        <item x="2"/>
        <item x="3"/>
        <item x="6"/>
        <item x="4"/>
        <item x="8"/>
        <item x="0"/>
        <item x="10"/>
        <item t="default"/>
      </items>
    </pivotField>
    <pivotField axis="axisRow" numFmtId="22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1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 r="1">
      <x v="183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 revenue" fld="2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80B5E-7DBD-E640-BCFF-87E2279CBB10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C25" firstHeaderRow="0" firstDataRow="1" firstDataCol="1"/>
  <pivotFields count="3">
    <pivotField axis="axisRow" showAll="0">
      <items count="11">
        <item x="1"/>
        <item x="9"/>
        <item x="0"/>
        <item x="3"/>
        <item x="8"/>
        <item x="2"/>
        <item x="5"/>
        <item x="7"/>
        <item x="4"/>
        <item x="6"/>
        <item t="default"/>
      </items>
    </pivotField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zerac Revenue" fld="2" baseField="0" baseItem="0"/>
    <dataField name="Sum of Total Revenue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18BC3-8DC8-8F4A-8486-4F9E9C33ECC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I24" firstHeaderRow="0" firstDataRow="1" firstDataCol="1"/>
  <pivotFields count="4">
    <pivotField axis="axisRow" showAll="0">
      <items count="21">
        <item x="19"/>
        <item x="3"/>
        <item x="16"/>
        <item x="15"/>
        <item x="6"/>
        <item x="0"/>
        <item x="1"/>
        <item x="17"/>
        <item x="8"/>
        <item x="5"/>
        <item x="18"/>
        <item x="4"/>
        <item x="7"/>
        <item x="13"/>
        <item x="10"/>
        <item x="14"/>
        <item x="11"/>
        <item x="9"/>
        <item x="2"/>
        <item x="12"/>
        <item t="default"/>
      </items>
    </pivotField>
    <pivotField dataField="1" showAll="0"/>
    <pivotField dataField="1" showAll="0"/>
    <pivotField showAll="0">
      <items count="3">
        <item x="0"/>
        <item x="1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-general" fld="1" baseField="0" baseItem="0"/>
    <dataField name="Sum of sum-sazerac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5A898-30C7-D14A-A37B-0506D5A9CA8E}" name="PivotTable24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E12" firstHeaderRow="1" firstDataRow="1" firstDataCol="1"/>
  <pivotFields count="2">
    <pivotField axis="axisRow" showAll="0">
      <items count="11">
        <item x="7"/>
        <item x="6"/>
        <item x="5"/>
        <item x="0"/>
        <item x="2"/>
        <item x="4"/>
        <item x="3"/>
        <item x="8"/>
        <item x="9"/>
        <item x="1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Revenue" fld="1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38403-4600-BE43-9DB1-B078E8E0C0B2}" name="Table2" displayName="Table2" ref="A3:D4" totalsRowShown="0">
  <autoFilter ref="A3:D4" xr:uid="{ACE38403-4600-BE43-9DB1-B078E8E0C0B2}"/>
  <tableColumns count="4">
    <tableColumn id="1" xr3:uid="{7EC7A01D-E188-0743-AA2F-744BA39E388A}" name="Top 10 Best Selling Categories"/>
    <tableColumn id="2" xr3:uid="{93555E23-AA82-9642-A7D2-93C7EF7D6C45}" name="Total Revenue"/>
    <tableColumn id="3" xr3:uid="{3BF0613E-C874-4A47-A391-26742DC643DA}" name="Sazerac Revenue"/>
    <tableColumn id="4" xr3:uid="{9950335E-9333-9643-9F90-BBFF21D4320E}" name="Sazerac Shar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F30F-E3F8-3B46-BC67-EAE26BC81F06}">
  <dimension ref="A1:H80"/>
  <sheetViews>
    <sheetView workbookViewId="0">
      <selection activeCell="G42" sqref="G42"/>
    </sheetView>
  </sheetViews>
  <sheetFormatPr baseColWidth="10" defaultRowHeight="16" x14ac:dyDescent="0.2"/>
  <cols>
    <col min="1" max="1" width="15.33203125" customWidth="1"/>
    <col min="2" max="2" width="18.6640625" customWidth="1"/>
    <col min="3" max="3" width="15.1640625" customWidth="1"/>
    <col min="5" max="5" width="17.83203125" customWidth="1"/>
    <col min="7" max="7" width="15.1640625" bestFit="1" customWidth="1"/>
  </cols>
  <sheetData>
    <row r="1" spans="1:8" x14ac:dyDescent="0.2">
      <c r="A1" s="1" t="s">
        <v>0</v>
      </c>
      <c r="B1" s="1" t="s">
        <v>1</v>
      </c>
      <c r="C1" s="1" t="s">
        <v>3</v>
      </c>
      <c r="E1" s="1" t="s">
        <v>2</v>
      </c>
      <c r="F1" s="2"/>
      <c r="G1" s="1" t="s">
        <v>108</v>
      </c>
      <c r="H1" s="1" t="s">
        <v>109</v>
      </c>
    </row>
    <row r="2" spans="1:8" x14ac:dyDescent="0.2">
      <c r="A2">
        <v>4829</v>
      </c>
      <c r="B2">
        <v>1548606.58</v>
      </c>
      <c r="C2">
        <v>37309997.75</v>
      </c>
      <c r="E2">
        <v>1548606.58</v>
      </c>
      <c r="G2">
        <v>1314</v>
      </c>
      <c r="H2">
        <v>79</v>
      </c>
    </row>
    <row r="3" spans="1:8" x14ac:dyDescent="0.2">
      <c r="A3">
        <v>2633</v>
      </c>
      <c r="B3">
        <v>1547896.48</v>
      </c>
      <c r="C3">
        <v>37309997.75</v>
      </c>
      <c r="E3">
        <v>3096503.06</v>
      </c>
    </row>
    <row r="4" spans="1:8" x14ac:dyDescent="0.2">
      <c r="A4">
        <v>3385</v>
      </c>
      <c r="B4">
        <v>957369.71</v>
      </c>
      <c r="C4">
        <v>37309997.75</v>
      </c>
      <c r="E4">
        <v>4053872.77</v>
      </c>
    </row>
    <row r="5" spans="1:8" x14ac:dyDescent="0.2">
      <c r="A5">
        <v>3420</v>
      </c>
      <c r="B5">
        <v>681607.75</v>
      </c>
      <c r="C5">
        <v>37309997.75</v>
      </c>
      <c r="E5">
        <v>4735480.5199999996</v>
      </c>
    </row>
    <row r="6" spans="1:8" x14ac:dyDescent="0.2">
      <c r="A6">
        <v>2512</v>
      </c>
      <c r="B6">
        <v>579585.07999999996</v>
      </c>
      <c r="C6">
        <v>37309997.75</v>
      </c>
      <c r="E6">
        <v>5315065.5999999996</v>
      </c>
    </row>
    <row r="7" spans="1:8" x14ac:dyDescent="0.2">
      <c r="A7">
        <v>3952</v>
      </c>
      <c r="B7">
        <v>548031.77</v>
      </c>
      <c r="C7">
        <v>37309997.75</v>
      </c>
      <c r="E7">
        <v>5863097.3700000001</v>
      </c>
    </row>
    <row r="8" spans="1:8" x14ac:dyDescent="0.2">
      <c r="A8">
        <v>3494</v>
      </c>
      <c r="B8">
        <v>458291.24</v>
      </c>
      <c r="C8">
        <v>37309997.75</v>
      </c>
      <c r="E8">
        <v>6321388.6100000003</v>
      </c>
    </row>
    <row r="9" spans="1:8" x14ac:dyDescent="0.2">
      <c r="A9">
        <v>3354</v>
      </c>
      <c r="B9">
        <v>427252.5</v>
      </c>
      <c r="C9">
        <v>37309997.75</v>
      </c>
      <c r="E9">
        <v>6748641.1100000003</v>
      </c>
    </row>
    <row r="10" spans="1:8" x14ac:dyDescent="0.2">
      <c r="A10">
        <v>2625</v>
      </c>
      <c r="B10">
        <v>414905.48</v>
      </c>
      <c r="C10">
        <v>37309997.75</v>
      </c>
      <c r="E10">
        <v>7163546.5899999999</v>
      </c>
    </row>
    <row r="11" spans="1:8" x14ac:dyDescent="0.2">
      <c r="A11">
        <v>3524</v>
      </c>
      <c r="B11">
        <v>375029.64</v>
      </c>
      <c r="C11">
        <v>37309997.75</v>
      </c>
      <c r="E11">
        <v>7538576.2300000004</v>
      </c>
    </row>
    <row r="12" spans="1:8" x14ac:dyDescent="0.2">
      <c r="A12">
        <v>3926</v>
      </c>
      <c r="B12">
        <v>353880.41</v>
      </c>
      <c r="C12">
        <v>37309997.75</v>
      </c>
      <c r="E12">
        <v>7892456.6399999997</v>
      </c>
    </row>
    <row r="13" spans="1:8" x14ac:dyDescent="0.2">
      <c r="A13">
        <v>2106</v>
      </c>
      <c r="B13">
        <v>353341.21</v>
      </c>
      <c r="C13">
        <v>37309997.75</v>
      </c>
      <c r="E13">
        <v>8245797.8499999996</v>
      </c>
    </row>
    <row r="14" spans="1:8" x14ac:dyDescent="0.2">
      <c r="A14">
        <v>3773</v>
      </c>
      <c r="B14">
        <v>338276.44</v>
      </c>
      <c r="C14">
        <v>37309997.75</v>
      </c>
      <c r="E14">
        <v>8584074.2899999991</v>
      </c>
    </row>
    <row r="15" spans="1:8" x14ac:dyDescent="0.2">
      <c r="A15">
        <v>3447</v>
      </c>
      <c r="B15">
        <v>332090.34000000003</v>
      </c>
      <c r="C15">
        <v>37309997.75</v>
      </c>
      <c r="E15">
        <v>8916164.6300000008</v>
      </c>
    </row>
    <row r="16" spans="1:8" x14ac:dyDescent="0.2">
      <c r="A16">
        <v>3477</v>
      </c>
      <c r="B16">
        <v>266926.44</v>
      </c>
      <c r="C16">
        <v>37309997.75</v>
      </c>
      <c r="E16">
        <v>9183091.0700000003</v>
      </c>
    </row>
    <row r="17" spans="1:5" x14ac:dyDescent="0.2">
      <c r="A17">
        <v>2616</v>
      </c>
      <c r="B17">
        <v>263179.87</v>
      </c>
      <c r="C17">
        <v>37309997.75</v>
      </c>
      <c r="E17">
        <v>9446270.9399999995</v>
      </c>
    </row>
    <row r="18" spans="1:5" x14ac:dyDescent="0.2">
      <c r="A18">
        <v>3692</v>
      </c>
      <c r="B18">
        <v>262906.48</v>
      </c>
      <c r="C18">
        <v>37309997.75</v>
      </c>
      <c r="E18">
        <v>9709177.4199999999</v>
      </c>
    </row>
    <row r="19" spans="1:5" x14ac:dyDescent="0.2">
      <c r="A19">
        <v>2599</v>
      </c>
      <c r="B19">
        <v>249044.26</v>
      </c>
      <c r="C19">
        <v>37309997.75</v>
      </c>
      <c r="E19">
        <v>9958221.6799999997</v>
      </c>
    </row>
    <row r="20" spans="1:5" x14ac:dyDescent="0.2">
      <c r="A20">
        <v>4312</v>
      </c>
      <c r="B20">
        <v>232671.06</v>
      </c>
      <c r="C20">
        <v>37309997.75</v>
      </c>
      <c r="E20">
        <v>10190892.74</v>
      </c>
    </row>
    <row r="21" spans="1:5" x14ac:dyDescent="0.2">
      <c r="A21">
        <v>2629</v>
      </c>
      <c r="B21">
        <v>229013.7</v>
      </c>
      <c r="C21">
        <v>37309997.75</v>
      </c>
      <c r="E21">
        <v>10419906.439999999</v>
      </c>
    </row>
    <row r="22" spans="1:5" x14ac:dyDescent="0.2">
      <c r="A22">
        <v>2508</v>
      </c>
      <c r="B22">
        <v>220491.26</v>
      </c>
      <c r="C22">
        <v>37309997.75</v>
      </c>
      <c r="E22">
        <v>10640397.699999999</v>
      </c>
    </row>
    <row r="23" spans="1:5" x14ac:dyDescent="0.2">
      <c r="A23">
        <v>2465</v>
      </c>
      <c r="B23">
        <v>217634.48</v>
      </c>
      <c r="C23">
        <v>37309997.75</v>
      </c>
      <c r="E23">
        <v>10858032.18</v>
      </c>
    </row>
    <row r="24" spans="1:5" x14ac:dyDescent="0.2">
      <c r="A24">
        <v>3820</v>
      </c>
      <c r="B24">
        <v>215482.14</v>
      </c>
      <c r="C24">
        <v>37309997.75</v>
      </c>
      <c r="E24">
        <v>11073514.32</v>
      </c>
    </row>
    <row r="25" spans="1:5" x14ac:dyDescent="0.2">
      <c r="A25">
        <v>2521</v>
      </c>
      <c r="B25">
        <v>203710.82</v>
      </c>
      <c r="C25">
        <v>37309997.75</v>
      </c>
      <c r="E25">
        <v>11277225.140000001</v>
      </c>
    </row>
    <row r="26" spans="1:5" x14ac:dyDescent="0.2">
      <c r="A26">
        <v>2515</v>
      </c>
      <c r="B26">
        <v>199537.22</v>
      </c>
      <c r="C26">
        <v>37309997.75</v>
      </c>
      <c r="E26">
        <v>11476762.359999999</v>
      </c>
    </row>
    <row r="27" spans="1:5" x14ac:dyDescent="0.2">
      <c r="A27">
        <v>3390</v>
      </c>
      <c r="B27">
        <v>189812.76</v>
      </c>
      <c r="C27">
        <v>37309997.75</v>
      </c>
      <c r="E27">
        <v>11666575.119999999</v>
      </c>
    </row>
    <row r="28" spans="1:5" x14ac:dyDescent="0.2">
      <c r="A28">
        <v>2522</v>
      </c>
      <c r="B28">
        <v>179736.72</v>
      </c>
      <c r="C28">
        <v>37309997.75</v>
      </c>
      <c r="E28">
        <v>11846311.84</v>
      </c>
    </row>
    <row r="29" spans="1:5" x14ac:dyDescent="0.2">
      <c r="A29">
        <v>2614</v>
      </c>
      <c r="B29">
        <v>179350.06</v>
      </c>
      <c r="C29">
        <v>37309997.75</v>
      </c>
      <c r="E29">
        <v>12025661.9</v>
      </c>
    </row>
    <row r="30" spans="1:5" x14ac:dyDescent="0.2">
      <c r="A30">
        <v>2544</v>
      </c>
      <c r="B30">
        <v>179260.17</v>
      </c>
      <c r="C30">
        <v>37309997.75</v>
      </c>
      <c r="E30">
        <v>12204922.07</v>
      </c>
    </row>
    <row r="31" spans="1:5" x14ac:dyDescent="0.2">
      <c r="A31">
        <v>2573</v>
      </c>
      <c r="B31">
        <v>178556.91</v>
      </c>
      <c r="C31">
        <v>37309997.75</v>
      </c>
      <c r="E31">
        <v>12383478.98</v>
      </c>
    </row>
    <row r="32" spans="1:5" x14ac:dyDescent="0.2">
      <c r="A32">
        <v>2191</v>
      </c>
      <c r="B32">
        <v>175828.91</v>
      </c>
      <c r="C32">
        <v>37309997.75</v>
      </c>
      <c r="E32">
        <v>12559307.890000001</v>
      </c>
    </row>
    <row r="33" spans="1:5" x14ac:dyDescent="0.2">
      <c r="A33">
        <v>2500</v>
      </c>
      <c r="B33">
        <v>173925.82</v>
      </c>
      <c r="C33">
        <v>37309997.75</v>
      </c>
      <c r="E33">
        <v>12733233.710000001</v>
      </c>
    </row>
    <row r="34" spans="1:5" x14ac:dyDescent="0.2">
      <c r="A34">
        <v>2501</v>
      </c>
      <c r="B34">
        <v>172169.53</v>
      </c>
      <c r="C34">
        <v>37309997.75</v>
      </c>
      <c r="E34">
        <v>12905403.24</v>
      </c>
    </row>
    <row r="35" spans="1:5" x14ac:dyDescent="0.2">
      <c r="A35">
        <v>2561</v>
      </c>
      <c r="B35">
        <v>172166.31</v>
      </c>
      <c r="C35">
        <v>37309997.75</v>
      </c>
      <c r="E35">
        <v>13077569.550000001</v>
      </c>
    </row>
    <row r="36" spans="1:5" x14ac:dyDescent="0.2">
      <c r="A36">
        <v>2663</v>
      </c>
      <c r="B36">
        <v>160126.43</v>
      </c>
      <c r="C36">
        <v>37309997.75</v>
      </c>
      <c r="E36">
        <v>13237695.98</v>
      </c>
    </row>
    <row r="37" spans="1:5" x14ac:dyDescent="0.2">
      <c r="A37">
        <v>2626</v>
      </c>
      <c r="B37">
        <v>158067.81</v>
      </c>
      <c r="C37">
        <v>37309997.75</v>
      </c>
      <c r="E37">
        <v>13395763.789999999</v>
      </c>
    </row>
    <row r="38" spans="1:5" x14ac:dyDescent="0.2">
      <c r="A38">
        <v>2636</v>
      </c>
      <c r="B38">
        <v>154791.17000000001</v>
      </c>
      <c r="C38">
        <v>37309997.75</v>
      </c>
      <c r="E38">
        <v>13550554.960000001</v>
      </c>
    </row>
    <row r="39" spans="1:5" x14ac:dyDescent="0.2">
      <c r="A39">
        <v>2528</v>
      </c>
      <c r="B39">
        <v>151878.13</v>
      </c>
      <c r="C39">
        <v>37309997.75</v>
      </c>
      <c r="E39">
        <v>13702433.09</v>
      </c>
    </row>
    <row r="40" spans="1:5" x14ac:dyDescent="0.2">
      <c r="A40">
        <v>2552</v>
      </c>
      <c r="B40">
        <v>151018.16</v>
      </c>
      <c r="C40">
        <v>37309997.75</v>
      </c>
      <c r="E40">
        <v>13853451.25</v>
      </c>
    </row>
    <row r="41" spans="1:5" x14ac:dyDescent="0.2">
      <c r="A41">
        <v>2548</v>
      </c>
      <c r="B41">
        <v>150658.14000000001</v>
      </c>
      <c r="C41">
        <v>37309997.75</v>
      </c>
      <c r="E41">
        <v>14004109.390000001</v>
      </c>
    </row>
    <row r="42" spans="1:5" x14ac:dyDescent="0.2">
      <c r="A42">
        <v>2502</v>
      </c>
      <c r="B42">
        <v>149268.22</v>
      </c>
      <c r="C42">
        <v>37309997.75</v>
      </c>
      <c r="E42">
        <v>14153377.609999999</v>
      </c>
    </row>
    <row r="43" spans="1:5" x14ac:dyDescent="0.2">
      <c r="A43">
        <v>2130</v>
      </c>
      <c r="B43">
        <v>147815.65</v>
      </c>
      <c r="C43">
        <v>37309997.75</v>
      </c>
      <c r="E43">
        <v>14301193.26</v>
      </c>
    </row>
    <row r="44" spans="1:5" x14ac:dyDescent="0.2">
      <c r="A44">
        <v>2506</v>
      </c>
      <c r="B44">
        <v>146494.59</v>
      </c>
      <c r="C44">
        <v>37309997.75</v>
      </c>
      <c r="E44">
        <v>14447687.85</v>
      </c>
    </row>
    <row r="45" spans="1:5" x14ac:dyDescent="0.2">
      <c r="A45">
        <v>2613</v>
      </c>
      <c r="B45">
        <v>142760.20000000001</v>
      </c>
      <c r="C45">
        <v>37309997.75</v>
      </c>
      <c r="E45">
        <v>14590448.050000001</v>
      </c>
    </row>
    <row r="46" spans="1:5" x14ac:dyDescent="0.2">
      <c r="A46">
        <v>3944</v>
      </c>
      <c r="B46">
        <v>142174.26</v>
      </c>
      <c r="C46">
        <v>37309997.75</v>
      </c>
      <c r="E46">
        <v>14732622.310000001</v>
      </c>
    </row>
    <row r="47" spans="1:5" x14ac:dyDescent="0.2">
      <c r="A47">
        <v>2619</v>
      </c>
      <c r="B47">
        <v>141923.25</v>
      </c>
      <c r="C47">
        <v>37309997.75</v>
      </c>
      <c r="E47">
        <v>14874545.560000001</v>
      </c>
    </row>
    <row r="48" spans="1:5" x14ac:dyDescent="0.2">
      <c r="A48">
        <v>2621</v>
      </c>
      <c r="B48">
        <v>141678.1</v>
      </c>
      <c r="C48">
        <v>37309997.75</v>
      </c>
      <c r="E48">
        <v>15016223.66</v>
      </c>
    </row>
    <row r="49" spans="1:5" x14ac:dyDescent="0.2">
      <c r="A49">
        <v>2648</v>
      </c>
      <c r="B49">
        <v>138956.51</v>
      </c>
      <c r="C49">
        <v>37309997.75</v>
      </c>
      <c r="E49">
        <v>15155180.17</v>
      </c>
    </row>
    <row r="50" spans="1:5" x14ac:dyDescent="0.2">
      <c r="A50">
        <v>2603</v>
      </c>
      <c r="B50">
        <v>137091.54999999999</v>
      </c>
      <c r="C50">
        <v>37309997.75</v>
      </c>
      <c r="E50">
        <v>15292271.720000001</v>
      </c>
    </row>
    <row r="51" spans="1:5" x14ac:dyDescent="0.2">
      <c r="A51">
        <v>2536</v>
      </c>
      <c r="B51">
        <v>136718.46</v>
      </c>
      <c r="C51">
        <v>37309997.75</v>
      </c>
      <c r="E51">
        <v>15428990.18</v>
      </c>
    </row>
    <row r="52" spans="1:5" x14ac:dyDescent="0.2">
      <c r="A52">
        <v>2524</v>
      </c>
      <c r="B52">
        <v>129646.44</v>
      </c>
      <c r="C52">
        <v>37309997.75</v>
      </c>
      <c r="E52">
        <v>15558636.619999999</v>
      </c>
    </row>
    <row r="53" spans="1:5" x14ac:dyDescent="0.2">
      <c r="A53">
        <v>2190</v>
      </c>
      <c r="B53">
        <v>128696.18</v>
      </c>
      <c r="C53">
        <v>37309997.75</v>
      </c>
      <c r="E53">
        <v>15687332.800000001</v>
      </c>
    </row>
    <row r="54" spans="1:5" x14ac:dyDescent="0.2">
      <c r="A54">
        <v>2605</v>
      </c>
      <c r="B54">
        <v>126710.44</v>
      </c>
      <c r="C54">
        <v>37309997.75</v>
      </c>
      <c r="E54">
        <v>15814043.24</v>
      </c>
    </row>
    <row r="55" spans="1:5" x14ac:dyDescent="0.2">
      <c r="A55">
        <v>2593</v>
      </c>
      <c r="B55">
        <v>125825.45</v>
      </c>
      <c r="C55">
        <v>37309997.75</v>
      </c>
      <c r="E55">
        <v>15939868.689999999</v>
      </c>
    </row>
    <row r="56" spans="1:5" x14ac:dyDescent="0.2">
      <c r="A56">
        <v>2624</v>
      </c>
      <c r="B56">
        <v>124689.37</v>
      </c>
      <c r="C56">
        <v>37309997.75</v>
      </c>
      <c r="E56">
        <v>16064558.060000001</v>
      </c>
    </row>
    <row r="57" spans="1:5" x14ac:dyDescent="0.2">
      <c r="A57">
        <v>4167</v>
      </c>
      <c r="B57">
        <v>123359.99</v>
      </c>
      <c r="C57">
        <v>37309997.75</v>
      </c>
      <c r="E57">
        <v>16187918.050000001</v>
      </c>
    </row>
    <row r="58" spans="1:5" x14ac:dyDescent="0.2">
      <c r="A58">
        <v>2666</v>
      </c>
      <c r="B58">
        <v>117367.78</v>
      </c>
      <c r="C58">
        <v>37309997.75</v>
      </c>
      <c r="E58">
        <v>16305285.83</v>
      </c>
    </row>
    <row r="59" spans="1:5" x14ac:dyDescent="0.2">
      <c r="A59">
        <v>2651</v>
      </c>
      <c r="B59">
        <v>117075.43</v>
      </c>
      <c r="C59">
        <v>37309997.75</v>
      </c>
      <c r="E59">
        <v>16422361.26</v>
      </c>
    </row>
    <row r="60" spans="1:5" x14ac:dyDescent="0.2">
      <c r="A60">
        <v>2649</v>
      </c>
      <c r="B60">
        <v>116050.37</v>
      </c>
      <c r="C60">
        <v>37309997.75</v>
      </c>
      <c r="E60">
        <v>16538411.630000001</v>
      </c>
    </row>
    <row r="61" spans="1:5" x14ac:dyDescent="0.2">
      <c r="A61">
        <v>2665</v>
      </c>
      <c r="B61">
        <v>110654.86</v>
      </c>
      <c r="C61">
        <v>37309997.75</v>
      </c>
      <c r="E61">
        <v>16649066.49</v>
      </c>
    </row>
    <row r="62" spans="1:5" x14ac:dyDescent="0.2">
      <c r="A62">
        <v>2623</v>
      </c>
      <c r="B62">
        <v>110264.34</v>
      </c>
      <c r="C62">
        <v>37309997.75</v>
      </c>
      <c r="E62">
        <v>16759330.83</v>
      </c>
    </row>
    <row r="63" spans="1:5" x14ac:dyDescent="0.2">
      <c r="A63">
        <v>2582</v>
      </c>
      <c r="B63">
        <v>108888.88</v>
      </c>
      <c r="C63">
        <v>37309997.75</v>
      </c>
      <c r="E63">
        <v>16868219.710000001</v>
      </c>
    </row>
    <row r="64" spans="1:5" x14ac:dyDescent="0.2">
      <c r="A64">
        <v>4969</v>
      </c>
      <c r="B64">
        <v>108357.8</v>
      </c>
      <c r="C64">
        <v>37309997.75</v>
      </c>
      <c r="E64">
        <v>16976577.510000002</v>
      </c>
    </row>
    <row r="65" spans="1:5" x14ac:dyDescent="0.2">
      <c r="A65">
        <v>2644</v>
      </c>
      <c r="B65">
        <v>107528.44</v>
      </c>
      <c r="C65">
        <v>37309997.75</v>
      </c>
      <c r="E65">
        <v>17084105.949999999</v>
      </c>
    </row>
    <row r="66" spans="1:5" x14ac:dyDescent="0.2">
      <c r="A66">
        <v>2637</v>
      </c>
      <c r="B66">
        <v>106910.08</v>
      </c>
      <c r="C66">
        <v>37309997.75</v>
      </c>
      <c r="E66">
        <v>17191016.030000001</v>
      </c>
    </row>
    <row r="67" spans="1:5" x14ac:dyDescent="0.2">
      <c r="A67">
        <v>2585</v>
      </c>
      <c r="B67">
        <v>106595.12</v>
      </c>
      <c r="C67">
        <v>37309997.75</v>
      </c>
      <c r="E67">
        <v>17297611.149999999</v>
      </c>
    </row>
    <row r="68" spans="1:5" x14ac:dyDescent="0.2">
      <c r="A68">
        <v>3814</v>
      </c>
      <c r="B68">
        <v>105425.28</v>
      </c>
      <c r="C68">
        <v>37309997.75</v>
      </c>
      <c r="E68">
        <v>17403036.43</v>
      </c>
    </row>
    <row r="69" spans="1:5" x14ac:dyDescent="0.2">
      <c r="A69">
        <v>2578</v>
      </c>
      <c r="B69">
        <v>105422.28</v>
      </c>
      <c r="C69">
        <v>37309997.75</v>
      </c>
      <c r="E69">
        <v>17508458.710000001</v>
      </c>
    </row>
    <row r="70" spans="1:5" x14ac:dyDescent="0.2">
      <c r="A70">
        <v>2620</v>
      </c>
      <c r="B70">
        <v>104098.12</v>
      </c>
      <c r="C70">
        <v>37309997.75</v>
      </c>
      <c r="E70">
        <v>17612556.829999998</v>
      </c>
    </row>
    <row r="71" spans="1:5" x14ac:dyDescent="0.2">
      <c r="A71">
        <v>2595</v>
      </c>
      <c r="B71">
        <v>103763.5</v>
      </c>
      <c r="C71">
        <v>37309997.75</v>
      </c>
      <c r="E71">
        <v>17716320.329999998</v>
      </c>
    </row>
    <row r="72" spans="1:5" x14ac:dyDescent="0.2">
      <c r="A72">
        <v>2505</v>
      </c>
      <c r="B72">
        <v>102748.92</v>
      </c>
      <c r="C72">
        <v>37309997.75</v>
      </c>
      <c r="E72">
        <v>17819069.25</v>
      </c>
    </row>
    <row r="73" spans="1:5" x14ac:dyDescent="0.2">
      <c r="A73">
        <v>3352</v>
      </c>
      <c r="B73">
        <v>102545.86</v>
      </c>
      <c r="C73">
        <v>37309997.75</v>
      </c>
      <c r="E73">
        <v>17921615.109999999</v>
      </c>
    </row>
    <row r="74" spans="1:5" x14ac:dyDescent="0.2">
      <c r="A74">
        <v>2413</v>
      </c>
      <c r="B74">
        <v>101167.47</v>
      </c>
      <c r="C74">
        <v>37309997.75</v>
      </c>
      <c r="E74">
        <v>18022782.579999998</v>
      </c>
    </row>
    <row r="75" spans="1:5" x14ac:dyDescent="0.2">
      <c r="A75">
        <v>2560</v>
      </c>
      <c r="B75">
        <v>101164.01</v>
      </c>
      <c r="C75">
        <v>37309997.75</v>
      </c>
      <c r="E75">
        <v>18123946.59</v>
      </c>
    </row>
    <row r="76" spans="1:5" x14ac:dyDescent="0.2">
      <c r="A76">
        <v>2647</v>
      </c>
      <c r="B76">
        <v>99880.51</v>
      </c>
      <c r="C76">
        <v>37309997.75</v>
      </c>
      <c r="E76">
        <v>18223827.100000001</v>
      </c>
    </row>
    <row r="77" spans="1:5" x14ac:dyDescent="0.2">
      <c r="A77">
        <v>2590</v>
      </c>
      <c r="B77">
        <v>98950.720000000001</v>
      </c>
      <c r="C77">
        <v>37309997.75</v>
      </c>
      <c r="E77">
        <v>18322777.82</v>
      </c>
    </row>
    <row r="78" spans="1:5" x14ac:dyDescent="0.2">
      <c r="A78">
        <v>4509</v>
      </c>
      <c r="B78">
        <v>98803.44</v>
      </c>
      <c r="C78">
        <v>37309997.75</v>
      </c>
      <c r="E78">
        <v>18421581.260000002</v>
      </c>
    </row>
    <row r="79" spans="1:5" x14ac:dyDescent="0.2">
      <c r="A79">
        <v>2353</v>
      </c>
      <c r="B79">
        <v>98758.6</v>
      </c>
      <c r="C79">
        <v>37309997.75</v>
      </c>
      <c r="E79">
        <v>18520339.859999999</v>
      </c>
    </row>
    <row r="80" spans="1:5" x14ac:dyDescent="0.2">
      <c r="A80">
        <v>2564</v>
      </c>
      <c r="B80">
        <v>97802.93</v>
      </c>
      <c r="C80">
        <v>37309997.75</v>
      </c>
      <c r="E80">
        <v>18618142.789999999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7452-72BE-9F47-ADB3-AE967419E6AB}">
  <dimension ref="A1:H12"/>
  <sheetViews>
    <sheetView topLeftCell="D12" zoomScale="132" workbookViewId="0">
      <selection activeCell="L12" sqref="L12"/>
    </sheetView>
  </sheetViews>
  <sheetFormatPr baseColWidth="10" defaultRowHeight="16" x14ac:dyDescent="0.2"/>
  <cols>
    <col min="3" max="3" width="14" bestFit="1" customWidth="1"/>
    <col min="6" max="6" width="13" bestFit="1" customWidth="1"/>
    <col min="7" max="7" width="12.1640625" bestFit="1" customWidth="1"/>
    <col min="8" max="8" width="20.5" bestFit="1" customWidth="1"/>
  </cols>
  <sheetData>
    <row r="1" spans="1:8" x14ac:dyDescent="0.2">
      <c r="A1" t="s">
        <v>5</v>
      </c>
      <c r="B1" t="s">
        <v>0</v>
      </c>
      <c r="C1" t="s">
        <v>211</v>
      </c>
      <c r="F1" s="5" t="s">
        <v>113</v>
      </c>
      <c r="G1" t="s">
        <v>212</v>
      </c>
      <c r="H1" t="s">
        <v>213</v>
      </c>
    </row>
    <row r="2" spans="1:8" x14ac:dyDescent="0.2">
      <c r="A2">
        <v>1347.0508893280601</v>
      </c>
      <c r="B2">
        <v>3420</v>
      </c>
      <c r="C2">
        <v>129.80000000000001</v>
      </c>
      <c r="F2" s="6">
        <v>2633</v>
      </c>
      <c r="G2" s="4">
        <v>693.81285522187295</v>
      </c>
      <c r="H2" s="4">
        <v>129.80000000000001</v>
      </c>
    </row>
    <row r="3" spans="1:8" x14ac:dyDescent="0.2">
      <c r="A3">
        <v>1033.87657667386</v>
      </c>
      <c r="B3">
        <v>3385</v>
      </c>
      <c r="C3">
        <v>129.80000000000001</v>
      </c>
      <c r="F3" s="6">
        <v>3354</v>
      </c>
      <c r="G3" s="4">
        <v>682.51198083067004</v>
      </c>
      <c r="H3" s="4">
        <v>129.80000000000001</v>
      </c>
    </row>
    <row r="4" spans="1:8" x14ac:dyDescent="0.2">
      <c r="A4">
        <v>959.15508951406605</v>
      </c>
      <c r="B4">
        <v>3524</v>
      </c>
      <c r="C4">
        <v>129.80000000000001</v>
      </c>
      <c r="F4" s="6">
        <v>3385</v>
      </c>
      <c r="G4" s="4">
        <v>1033.87657667386</v>
      </c>
      <c r="H4" s="4">
        <v>129.80000000000001</v>
      </c>
    </row>
    <row r="5" spans="1:8" x14ac:dyDescent="0.2">
      <c r="A5">
        <v>871.28330578512305</v>
      </c>
      <c r="B5">
        <v>3814</v>
      </c>
      <c r="C5">
        <v>129.80000000000001</v>
      </c>
      <c r="F5" s="6">
        <v>3420</v>
      </c>
      <c r="G5" s="4">
        <v>1347.0508893280601</v>
      </c>
      <c r="H5" s="4">
        <v>129.80000000000001</v>
      </c>
    </row>
    <row r="6" spans="1:8" x14ac:dyDescent="0.2">
      <c r="A6">
        <v>844.70392405063205</v>
      </c>
      <c r="B6">
        <v>3477</v>
      </c>
      <c r="C6">
        <v>129.80000000000001</v>
      </c>
      <c r="F6" s="6">
        <v>3477</v>
      </c>
      <c r="G6" s="4">
        <v>844.70392405063205</v>
      </c>
      <c r="H6" s="4">
        <v>129.80000000000001</v>
      </c>
    </row>
    <row r="7" spans="1:8" x14ac:dyDescent="0.2">
      <c r="A7">
        <v>740.31290322580605</v>
      </c>
      <c r="B7">
        <v>3521</v>
      </c>
      <c r="C7">
        <v>129.80000000000001</v>
      </c>
      <c r="F7" s="6">
        <v>3494</v>
      </c>
      <c r="G7" s="4">
        <v>730.92701754385905</v>
      </c>
      <c r="H7" s="4">
        <v>129.80000000000001</v>
      </c>
    </row>
    <row r="8" spans="1:8" x14ac:dyDescent="0.2">
      <c r="A8">
        <v>730.92701754385905</v>
      </c>
      <c r="B8">
        <v>3494</v>
      </c>
      <c r="C8">
        <v>129.80000000000001</v>
      </c>
      <c r="F8" s="6">
        <v>3521</v>
      </c>
      <c r="G8" s="4">
        <v>740.31290322580605</v>
      </c>
      <c r="H8" s="4">
        <v>129.80000000000001</v>
      </c>
    </row>
    <row r="9" spans="1:8" x14ac:dyDescent="0.2">
      <c r="A9">
        <v>728.41325493885199</v>
      </c>
      <c r="B9">
        <v>4829</v>
      </c>
      <c r="C9">
        <v>129.80000000000001</v>
      </c>
      <c r="F9" s="6">
        <v>3524</v>
      </c>
      <c r="G9" s="4">
        <v>959.15508951406605</v>
      </c>
      <c r="H9" s="4">
        <v>129.80000000000001</v>
      </c>
    </row>
    <row r="10" spans="1:8" x14ac:dyDescent="0.2">
      <c r="A10">
        <v>693.81285522187295</v>
      </c>
      <c r="B10">
        <v>2633</v>
      </c>
      <c r="C10">
        <v>129.80000000000001</v>
      </c>
      <c r="F10" s="6">
        <v>3814</v>
      </c>
      <c r="G10" s="4">
        <v>871.28330578512305</v>
      </c>
      <c r="H10" s="4">
        <v>129.80000000000001</v>
      </c>
    </row>
    <row r="11" spans="1:8" x14ac:dyDescent="0.2">
      <c r="A11">
        <v>682.51198083067004</v>
      </c>
      <c r="B11">
        <v>3354</v>
      </c>
      <c r="C11">
        <v>129.80000000000001</v>
      </c>
      <c r="F11" s="6">
        <v>4829</v>
      </c>
      <c r="G11" s="4">
        <v>728.41325493885199</v>
      </c>
      <c r="H11" s="4">
        <v>129.80000000000001</v>
      </c>
    </row>
    <row r="12" spans="1:8" x14ac:dyDescent="0.2">
      <c r="F12" s="6" t="s">
        <v>114</v>
      </c>
      <c r="G12" s="4">
        <v>8632.0477971128003</v>
      </c>
      <c r="H12" s="4">
        <v>1297.9999999999998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BD3A-5D5D-8140-943C-98E8DCB17134}">
  <dimension ref="A1:V133"/>
  <sheetViews>
    <sheetView tabSelected="1" topLeftCell="E17" zoomScale="119" workbookViewId="0">
      <selection activeCell="S25" sqref="S25"/>
    </sheetView>
  </sheetViews>
  <sheetFormatPr baseColWidth="10" defaultRowHeight="16" x14ac:dyDescent="0.2"/>
  <cols>
    <col min="2" max="2" width="11.33203125" bestFit="1" customWidth="1"/>
    <col min="6" max="6" width="18" bestFit="1" customWidth="1"/>
    <col min="7" max="7" width="16" bestFit="1" customWidth="1"/>
    <col min="8" max="8" width="10.1640625" bestFit="1" customWidth="1"/>
    <col min="9" max="9" width="11.1640625" bestFit="1" customWidth="1"/>
    <col min="10" max="15" width="10.1640625" bestFit="1" customWidth="1"/>
    <col min="16" max="16" width="11.1640625" bestFit="1" customWidth="1"/>
    <col min="17" max="17" width="9.1640625" bestFit="1" customWidth="1"/>
    <col min="18" max="18" width="11.1640625" bestFit="1" customWidth="1"/>
    <col min="19" max="19" width="8.1640625" bestFit="1" customWidth="1"/>
    <col min="20" max="21" width="9.1640625" bestFit="1" customWidth="1"/>
    <col min="22" max="22" width="8.1640625" bestFit="1" customWidth="1"/>
    <col min="23" max="23" width="9.1640625" bestFit="1" customWidth="1"/>
    <col min="24" max="24" width="8.1640625" bestFit="1" customWidth="1"/>
    <col min="25" max="42" width="9.1640625" bestFit="1" customWidth="1"/>
    <col min="43" max="43" width="8.1640625" bestFit="1" customWidth="1"/>
    <col min="44" max="49" width="9.1640625" bestFit="1" customWidth="1"/>
    <col min="50" max="52" width="8.1640625" bestFit="1" customWidth="1"/>
    <col min="53" max="63" width="9.1640625" bestFit="1" customWidth="1"/>
    <col min="64" max="64" width="6.1640625" bestFit="1" customWidth="1"/>
    <col min="65" max="65" width="9.1640625" bestFit="1" customWidth="1"/>
    <col min="66" max="66" width="8.1640625" bestFit="1" customWidth="1"/>
    <col min="67" max="82" width="9.1640625" bestFit="1" customWidth="1"/>
    <col min="83" max="83" width="8.1640625" bestFit="1" customWidth="1"/>
    <col min="84" max="92" width="9.1640625" bestFit="1" customWidth="1"/>
    <col min="93" max="93" width="6.1640625" bestFit="1" customWidth="1"/>
    <col min="94" max="96" width="9.1640625" bestFit="1" customWidth="1"/>
    <col min="97" max="97" width="8.1640625" bestFit="1" customWidth="1"/>
    <col min="98" max="98" width="9.1640625" bestFit="1" customWidth="1"/>
    <col min="99" max="99" width="8.1640625" bestFit="1" customWidth="1"/>
    <col min="100" max="113" width="9.1640625" bestFit="1" customWidth="1"/>
    <col min="114" max="121" width="10.1640625" bestFit="1" customWidth="1"/>
    <col min="122" max="122" width="9.1640625" bestFit="1" customWidth="1"/>
    <col min="123" max="123" width="10.1640625" bestFit="1" customWidth="1"/>
    <col min="124" max="125" width="9.1640625" bestFit="1" customWidth="1"/>
    <col min="126" max="126" width="10.1640625" bestFit="1" customWidth="1"/>
    <col min="127" max="127" width="10.5" bestFit="1" customWidth="1"/>
  </cols>
  <sheetData>
    <row r="1" spans="1:22" x14ac:dyDescent="0.2">
      <c r="A1" s="1" t="s">
        <v>118</v>
      </c>
      <c r="B1" s="1" t="s">
        <v>119</v>
      </c>
      <c r="C1" s="1" t="s">
        <v>120</v>
      </c>
      <c r="F1" s="5" t="s">
        <v>133</v>
      </c>
      <c r="G1" s="5" t="s">
        <v>117</v>
      </c>
    </row>
    <row r="2" spans="1:22" x14ac:dyDescent="0.2">
      <c r="A2">
        <v>4829</v>
      </c>
      <c r="B2" s="8">
        <v>41640</v>
      </c>
      <c r="C2">
        <v>161734.66</v>
      </c>
      <c r="F2" s="5" t="s">
        <v>113</v>
      </c>
      <c r="G2">
        <v>2512</v>
      </c>
      <c r="H2">
        <v>2625</v>
      </c>
      <c r="I2">
        <v>2633</v>
      </c>
      <c r="J2">
        <v>3354</v>
      </c>
      <c r="K2">
        <v>3385</v>
      </c>
      <c r="L2">
        <v>3420</v>
      </c>
      <c r="M2">
        <v>3494</v>
      </c>
      <c r="N2">
        <v>3524</v>
      </c>
      <c r="O2">
        <v>3952</v>
      </c>
      <c r="P2">
        <v>4829</v>
      </c>
      <c r="Q2" t="s">
        <v>135</v>
      </c>
      <c r="R2" t="s">
        <v>114</v>
      </c>
      <c r="U2" t="s">
        <v>136</v>
      </c>
      <c r="V2" t="s">
        <v>137</v>
      </c>
    </row>
    <row r="3" spans="1:22" x14ac:dyDescent="0.2">
      <c r="A3">
        <v>2633</v>
      </c>
      <c r="B3" s="8">
        <v>41640</v>
      </c>
      <c r="C3">
        <v>160216.66</v>
      </c>
      <c r="F3" s="6" t="s">
        <v>121</v>
      </c>
      <c r="G3" s="4">
        <v>62946.720000000001</v>
      </c>
      <c r="H3" s="4">
        <v>39862.76</v>
      </c>
      <c r="I3" s="4">
        <v>160216.66</v>
      </c>
      <c r="J3" s="4">
        <v>45786.36</v>
      </c>
      <c r="K3" s="4">
        <v>99235.08</v>
      </c>
      <c r="L3" s="4">
        <v>94535.52</v>
      </c>
      <c r="M3" s="4">
        <v>49065.48</v>
      </c>
      <c r="N3" s="4">
        <v>82064.88</v>
      </c>
      <c r="O3" s="4">
        <v>42945.8</v>
      </c>
      <c r="P3" s="4">
        <v>161734.66</v>
      </c>
      <c r="Q3" s="4">
        <v>3617.59</v>
      </c>
      <c r="R3" s="4">
        <v>842011.51000000013</v>
      </c>
      <c r="T3" s="9" t="s">
        <v>121</v>
      </c>
      <c r="U3" s="10">
        <f>GETPIVOTDATA("total revenue",$F$1,"Months (month)",1)-GETPIVOTDATA("total revenue",$F$1,"stores","average","Months (month)",1)</f>
        <v>838393.92000000016</v>
      </c>
      <c r="V3" s="10">
        <v>3617.59</v>
      </c>
    </row>
    <row r="4" spans="1:22" x14ac:dyDescent="0.2">
      <c r="A4">
        <v>3385</v>
      </c>
      <c r="B4" s="8">
        <v>41640</v>
      </c>
      <c r="C4">
        <v>99235.08</v>
      </c>
      <c r="F4" s="6" t="s">
        <v>122</v>
      </c>
      <c r="G4" s="4">
        <v>53826.12</v>
      </c>
      <c r="H4" s="4">
        <v>38874.78</v>
      </c>
      <c r="I4" s="4">
        <v>163008.56</v>
      </c>
      <c r="J4" s="4">
        <v>21092.400000000001</v>
      </c>
      <c r="K4" s="4">
        <v>69093.440000000002</v>
      </c>
      <c r="L4" s="4">
        <v>24189.48</v>
      </c>
      <c r="M4" s="4">
        <v>35285.72</v>
      </c>
      <c r="N4" s="4">
        <v>8410.32</v>
      </c>
      <c r="O4" s="4">
        <v>54344.28</v>
      </c>
      <c r="P4" s="4">
        <v>156945.06</v>
      </c>
      <c r="Q4" s="4">
        <v>3357.75</v>
      </c>
      <c r="R4" s="4">
        <v>628427.90999999992</v>
      </c>
      <c r="T4" s="9" t="s">
        <v>122</v>
      </c>
      <c r="U4" s="10">
        <f>GETPIVOTDATA("total revenue",$F$1,"Months (month)",2)-GETPIVOTDATA("total revenue",$F$1,"stores","average","Months (month)",2)</f>
        <v>625070.15999999992</v>
      </c>
      <c r="V4" s="10">
        <v>3357.75</v>
      </c>
    </row>
    <row r="5" spans="1:22" x14ac:dyDescent="0.2">
      <c r="A5">
        <v>3420</v>
      </c>
      <c r="B5" s="8">
        <v>41640</v>
      </c>
      <c r="C5">
        <v>94535.52</v>
      </c>
      <c r="F5" s="6" t="s">
        <v>123</v>
      </c>
      <c r="G5" s="4">
        <v>54097.86</v>
      </c>
      <c r="H5" s="4">
        <v>44769.760000000002</v>
      </c>
      <c r="I5" s="4">
        <v>193396.7</v>
      </c>
      <c r="J5" s="4">
        <v>61192.08</v>
      </c>
      <c r="K5" s="4">
        <v>146342.28</v>
      </c>
      <c r="L5" s="4">
        <v>104166.24</v>
      </c>
      <c r="M5" s="4">
        <v>62017.56</v>
      </c>
      <c r="N5" s="4">
        <v>28235.279999999999</v>
      </c>
      <c r="O5" s="4">
        <v>66099</v>
      </c>
      <c r="P5" s="4">
        <v>178812.98</v>
      </c>
      <c r="Q5" s="4">
        <v>3721.51</v>
      </c>
      <c r="R5" s="4">
        <v>942851.25</v>
      </c>
      <c r="T5" s="9" t="s">
        <v>123</v>
      </c>
      <c r="U5" s="10">
        <f>GETPIVOTDATA("total revenue",$F$1,"Months (month)",3)-GETPIVOTDATA("total revenue",$F$1,"stores","average","Months (month)",3)</f>
        <v>939129.74</v>
      </c>
      <c r="V5" s="10">
        <v>3721.51</v>
      </c>
    </row>
    <row r="6" spans="1:22" x14ac:dyDescent="0.2">
      <c r="A6">
        <v>3524</v>
      </c>
      <c r="B6" s="8">
        <v>41640</v>
      </c>
      <c r="C6">
        <v>82064.88</v>
      </c>
      <c r="F6" s="6" t="s">
        <v>124</v>
      </c>
      <c r="G6" s="4">
        <v>61318.18</v>
      </c>
      <c r="H6" s="4">
        <v>48560.56</v>
      </c>
      <c r="I6" s="4">
        <v>201371.14</v>
      </c>
      <c r="J6" s="4">
        <v>25260.36</v>
      </c>
      <c r="K6" s="4">
        <v>75138.600000000006</v>
      </c>
      <c r="L6" s="4">
        <v>48603.16</v>
      </c>
      <c r="M6" s="4">
        <v>37897.32</v>
      </c>
      <c r="N6" s="4">
        <v>23131.32</v>
      </c>
      <c r="O6" s="4">
        <v>67234.34</v>
      </c>
      <c r="P6" s="4">
        <v>164408.20000000001</v>
      </c>
      <c r="Q6" s="4">
        <v>4021.04</v>
      </c>
      <c r="R6" s="4">
        <v>756944.22</v>
      </c>
      <c r="T6" s="9" t="s">
        <v>124</v>
      </c>
      <c r="U6" s="10">
        <f>GETPIVOTDATA("total revenue",$F$1,"Months (month)",4)-GETPIVOTDATA("total revenue",$F$1,"stores","average","Months (month)",4)</f>
        <v>752923.17999999993</v>
      </c>
      <c r="V6" s="10">
        <v>4021.04</v>
      </c>
    </row>
    <row r="7" spans="1:22" x14ac:dyDescent="0.2">
      <c r="A7">
        <v>2512</v>
      </c>
      <c r="B7" s="8">
        <v>41640</v>
      </c>
      <c r="C7">
        <v>62946.720000000001</v>
      </c>
      <c r="F7" s="6" t="s">
        <v>125</v>
      </c>
      <c r="G7" s="4">
        <v>70656.899999999994</v>
      </c>
      <c r="H7" s="4">
        <v>40615.08</v>
      </c>
      <c r="I7" s="4">
        <v>161225.34</v>
      </c>
      <c r="J7" s="4">
        <v>54814.2</v>
      </c>
      <c r="K7" s="4">
        <v>84311.28</v>
      </c>
      <c r="L7" s="4">
        <v>65363.040000000001</v>
      </c>
      <c r="M7" s="4">
        <v>42676.92</v>
      </c>
      <c r="N7" s="4">
        <v>47182.44</v>
      </c>
      <c r="O7" s="4">
        <v>58734.46</v>
      </c>
      <c r="P7" s="4">
        <v>188383.4</v>
      </c>
      <c r="Q7" s="4">
        <v>3703.92</v>
      </c>
      <c r="R7" s="4">
        <v>817666.98</v>
      </c>
      <c r="T7" s="9" t="s">
        <v>125</v>
      </c>
      <c r="U7" s="10">
        <f>GETPIVOTDATA("total revenue",$F$1,"Months (month)",5)-GETPIVOTDATA("total revenue",$F$1,"stores","average","Months (month)",5)</f>
        <v>813963.05999999994</v>
      </c>
      <c r="V7" s="10">
        <v>3703.92</v>
      </c>
    </row>
    <row r="8" spans="1:22" x14ac:dyDescent="0.2">
      <c r="A8">
        <v>3494</v>
      </c>
      <c r="B8" s="8">
        <v>41640</v>
      </c>
      <c r="C8">
        <v>49065.48</v>
      </c>
      <c r="F8" s="6" t="s">
        <v>126</v>
      </c>
      <c r="G8" s="4">
        <v>29698.86</v>
      </c>
      <c r="H8" s="4">
        <v>26261.57</v>
      </c>
      <c r="I8" s="4">
        <v>65491.81</v>
      </c>
      <c r="J8" s="4">
        <v>33826.199999999997</v>
      </c>
      <c r="K8" s="4">
        <v>83578.33</v>
      </c>
      <c r="L8" s="4">
        <v>45867.12</v>
      </c>
      <c r="M8" s="4">
        <v>33245.339999999997</v>
      </c>
      <c r="N8" s="4">
        <v>23154.959999999999</v>
      </c>
      <c r="O8" s="4">
        <v>28730.79</v>
      </c>
      <c r="P8" s="4">
        <v>83636.08</v>
      </c>
      <c r="Q8" s="4">
        <v>2074.34</v>
      </c>
      <c r="R8" s="4">
        <v>455565.4</v>
      </c>
      <c r="T8" s="9" t="s">
        <v>126</v>
      </c>
      <c r="U8" s="10">
        <f>GETPIVOTDATA("total revenue",$F$1,"Months (month)",6)-GETPIVOTDATA("total revenue",$F$1,"stores","average","Months (month)",6)</f>
        <v>453491.06</v>
      </c>
      <c r="V8" s="10">
        <v>2074.34</v>
      </c>
    </row>
    <row r="9" spans="1:22" x14ac:dyDescent="0.2">
      <c r="A9">
        <v>3354</v>
      </c>
      <c r="B9" s="8">
        <v>41640</v>
      </c>
      <c r="C9">
        <v>45786.36</v>
      </c>
      <c r="F9" s="6" t="s">
        <v>127</v>
      </c>
      <c r="G9" s="4">
        <v>27010.17</v>
      </c>
      <c r="H9" s="4">
        <v>21682.799999999999</v>
      </c>
      <c r="I9" s="4">
        <v>103177.52</v>
      </c>
      <c r="J9" s="4">
        <v>25508.639999999999</v>
      </c>
      <c r="K9" s="4">
        <v>43183.38</v>
      </c>
      <c r="L9" s="4">
        <v>44057.64</v>
      </c>
      <c r="M9" s="4">
        <v>21797.16</v>
      </c>
      <c r="N9" s="4">
        <v>22490.28</v>
      </c>
      <c r="O9" s="4">
        <v>34038.22</v>
      </c>
      <c r="P9" s="4">
        <v>89695.85</v>
      </c>
      <c r="Q9" s="4">
        <v>2062.84</v>
      </c>
      <c r="R9" s="4">
        <v>434704.49999999994</v>
      </c>
      <c r="T9" s="9" t="s">
        <v>127</v>
      </c>
      <c r="U9" s="10">
        <f>GETPIVOTDATA("total revenue",$F$1,"Months (month)",7)-GETPIVOTDATA("total revenue",$F$1,"stores","average","Months (month)",7)</f>
        <v>432641.65999999992</v>
      </c>
      <c r="V9" s="10">
        <v>2062.84</v>
      </c>
    </row>
    <row r="10" spans="1:22" x14ac:dyDescent="0.2">
      <c r="A10">
        <v>3952</v>
      </c>
      <c r="B10" s="8">
        <v>41640</v>
      </c>
      <c r="C10">
        <v>42945.8</v>
      </c>
      <c r="F10" s="7" t="s">
        <v>134</v>
      </c>
      <c r="G10" s="4">
        <v>27010.17</v>
      </c>
      <c r="H10" s="4">
        <v>21682.799999999999</v>
      </c>
      <c r="I10" s="4">
        <v>103177.52</v>
      </c>
      <c r="J10" s="4">
        <v>25508.639999999999</v>
      </c>
      <c r="K10" s="4">
        <v>43183.38</v>
      </c>
      <c r="L10" s="4">
        <v>44057.64</v>
      </c>
      <c r="M10" s="4">
        <v>21797.16</v>
      </c>
      <c r="N10" s="4">
        <v>22490.28</v>
      </c>
      <c r="O10" s="4">
        <v>34038.22</v>
      </c>
      <c r="P10" s="4">
        <v>89695.85</v>
      </c>
      <c r="Q10" s="4">
        <v>2062.84</v>
      </c>
      <c r="R10" s="4">
        <v>434704.49999999994</v>
      </c>
      <c r="T10" s="9" t="s">
        <v>128</v>
      </c>
      <c r="U10">
        <f>GETPIVOTDATA("total revenue",$F$1,"Months (month)",8)-GETPIVOTDATA("total revenue",$F$1,"stores","average","Months (month)",8)</f>
        <v>465468.05000000005</v>
      </c>
      <c r="V10" s="10">
        <v>2083.16</v>
      </c>
    </row>
    <row r="11" spans="1:22" x14ac:dyDescent="0.2">
      <c r="A11">
        <v>2625</v>
      </c>
      <c r="B11" s="8">
        <v>41640</v>
      </c>
      <c r="C11">
        <v>39862.76</v>
      </c>
      <c r="F11" s="6" t="s">
        <v>128</v>
      </c>
      <c r="G11" s="4">
        <v>32053.360000000001</v>
      </c>
      <c r="H11" s="4">
        <v>19508.78</v>
      </c>
      <c r="I11" s="4">
        <v>82495.710000000006</v>
      </c>
      <c r="J11" s="4">
        <v>42552</v>
      </c>
      <c r="K11" s="4">
        <v>69011.820000000007</v>
      </c>
      <c r="L11" s="4">
        <v>51868.62</v>
      </c>
      <c r="M11" s="4">
        <v>29599.8</v>
      </c>
      <c r="N11" s="4">
        <v>22454.639999999999</v>
      </c>
      <c r="O11" s="4">
        <v>33396.9</v>
      </c>
      <c r="P11" s="4">
        <v>82526.42</v>
      </c>
      <c r="Q11" s="4">
        <v>2083.16</v>
      </c>
      <c r="R11" s="4">
        <v>467551.21</v>
      </c>
      <c r="T11" s="9" t="s">
        <v>129</v>
      </c>
      <c r="U11" s="10">
        <f>GETPIVOTDATA("total revenue",$F$1,"Months (month)",9)-GETPIVOTDATA("total revenue",$F$1,"stores","average","Months (month)",9)</f>
        <v>398409.14</v>
      </c>
      <c r="V11" s="10">
        <v>2062.7399999999998</v>
      </c>
    </row>
    <row r="12" spans="1:22" x14ac:dyDescent="0.2">
      <c r="A12">
        <v>2633</v>
      </c>
      <c r="B12" s="8">
        <v>41671</v>
      </c>
      <c r="C12">
        <v>163008.56</v>
      </c>
      <c r="F12" s="6" t="s">
        <v>129</v>
      </c>
      <c r="G12" s="4">
        <v>42202.77</v>
      </c>
      <c r="H12" s="4">
        <v>20542.54</v>
      </c>
      <c r="I12" s="4">
        <v>80119.12</v>
      </c>
      <c r="J12" s="4">
        <v>19576.62</v>
      </c>
      <c r="K12" s="4">
        <v>39947.64</v>
      </c>
      <c r="L12" s="4">
        <v>33530.1</v>
      </c>
      <c r="M12" s="4">
        <v>21839.7</v>
      </c>
      <c r="N12" s="4">
        <v>30215.52</v>
      </c>
      <c r="O12" s="4">
        <v>29462.74</v>
      </c>
      <c r="P12" s="4">
        <v>80972.39</v>
      </c>
      <c r="Q12" s="4">
        <v>2062.7399999999998</v>
      </c>
      <c r="R12" s="4">
        <v>400471.88</v>
      </c>
      <c r="T12" s="9" t="s">
        <v>130</v>
      </c>
      <c r="U12" s="10">
        <f>GETPIVOTDATA("total revenue",$F$1,"Months (month)",10)-GETPIVOTDATA("total revenue",$F$1,"stores","average","Months (month)",10)</f>
        <v>486150.11</v>
      </c>
      <c r="V12" s="10">
        <v>2316.36</v>
      </c>
    </row>
    <row r="13" spans="1:22" x14ac:dyDescent="0.2">
      <c r="A13">
        <v>4829</v>
      </c>
      <c r="B13" s="8">
        <v>41671</v>
      </c>
      <c r="C13">
        <v>156945.06</v>
      </c>
      <c r="F13" s="6" t="s">
        <v>130</v>
      </c>
      <c r="G13" s="4">
        <v>56406.66</v>
      </c>
      <c r="H13" s="4">
        <v>35350.99</v>
      </c>
      <c r="I13" s="4">
        <v>85912.01</v>
      </c>
      <c r="J13" s="4">
        <v>27148.32</v>
      </c>
      <c r="K13" s="4">
        <v>57383.58</v>
      </c>
      <c r="L13" s="4">
        <v>49031.040000000001</v>
      </c>
      <c r="M13" s="4">
        <v>23294.58</v>
      </c>
      <c r="N13" s="4">
        <v>21351.360000000001</v>
      </c>
      <c r="O13" s="4">
        <v>35456.76</v>
      </c>
      <c r="P13" s="4">
        <v>94814.81</v>
      </c>
      <c r="Q13" s="4">
        <v>2316.36</v>
      </c>
      <c r="R13" s="4">
        <v>488466.47</v>
      </c>
      <c r="T13" s="9" t="s">
        <v>131</v>
      </c>
      <c r="U13" s="10">
        <f>GETPIVOTDATA("total revenue",$F$1,"Months (month)",11)-GETPIVOTDATA("total revenue",$F$1,"stores","average","Months (month)",11)</f>
        <v>371298.24</v>
      </c>
      <c r="V13" s="10">
        <v>1870.29</v>
      </c>
    </row>
    <row r="14" spans="1:22" x14ac:dyDescent="0.2">
      <c r="A14">
        <v>3385</v>
      </c>
      <c r="B14" s="8">
        <v>41671</v>
      </c>
      <c r="C14">
        <v>69093.440000000002</v>
      </c>
      <c r="F14" s="6" t="s">
        <v>131</v>
      </c>
      <c r="G14" s="4">
        <v>25974.91</v>
      </c>
      <c r="H14" s="4">
        <v>20648.77</v>
      </c>
      <c r="I14" s="4">
        <v>74358.03</v>
      </c>
      <c r="J14" s="4">
        <v>21196.32</v>
      </c>
      <c r="K14" s="4">
        <v>51899.64</v>
      </c>
      <c r="L14" s="4">
        <v>26891.16</v>
      </c>
      <c r="M14" s="4">
        <v>31033.02</v>
      </c>
      <c r="N14" s="4">
        <v>17958.12</v>
      </c>
      <c r="O14" s="4">
        <v>25261.05</v>
      </c>
      <c r="P14" s="4">
        <v>76077.22</v>
      </c>
      <c r="Q14" s="4">
        <v>1870.29</v>
      </c>
      <c r="R14" s="4">
        <v>373168.52999999997</v>
      </c>
      <c r="T14" s="9" t="s">
        <v>132</v>
      </c>
      <c r="U14" s="10">
        <f>GETPIVOTDATA("total revenue",$F$1,"Months (month)",12)-GETPIVOTDATA("total revenue",$F$1,"stores","average","Months (month)",12)</f>
        <v>227127.44999999998</v>
      </c>
      <c r="V14" s="10">
        <v>1015.85</v>
      </c>
    </row>
    <row r="15" spans="1:22" x14ac:dyDescent="0.2">
      <c r="A15">
        <v>3952</v>
      </c>
      <c r="B15" s="8">
        <v>41671</v>
      </c>
      <c r="C15">
        <v>54344.28</v>
      </c>
      <c r="F15" s="6" t="s">
        <v>132</v>
      </c>
      <c r="G15" s="4">
        <v>14475.15</v>
      </c>
      <c r="H15" s="4">
        <v>8493.2900000000009</v>
      </c>
      <c r="I15" s="4">
        <v>28909.88</v>
      </c>
      <c r="J15" s="4">
        <v>11378.94</v>
      </c>
      <c r="K15" s="4">
        <v>47392.62</v>
      </c>
      <c r="L15" s="4">
        <v>37120.379999999997</v>
      </c>
      <c r="M15" s="4">
        <v>16110.36</v>
      </c>
      <c r="N15" s="4">
        <v>18407.46</v>
      </c>
      <c r="O15" s="4">
        <v>14204.4</v>
      </c>
      <c r="P15" s="4">
        <v>30634.97</v>
      </c>
      <c r="Q15" s="4">
        <v>1015.85</v>
      </c>
      <c r="R15" s="4">
        <v>228143.3</v>
      </c>
    </row>
    <row r="16" spans="1:22" x14ac:dyDescent="0.2">
      <c r="A16">
        <v>2512</v>
      </c>
      <c r="B16" s="8">
        <v>41671</v>
      </c>
      <c r="C16">
        <v>53826.12</v>
      </c>
      <c r="F16" s="6" t="s">
        <v>114</v>
      </c>
      <c r="G16" s="4">
        <v>530667.65999999992</v>
      </c>
      <c r="H16" s="4">
        <v>365171.67999999993</v>
      </c>
      <c r="I16" s="4">
        <v>1399682.48</v>
      </c>
      <c r="J16" s="4">
        <v>389332.44000000006</v>
      </c>
      <c r="K16" s="4">
        <v>866517.69</v>
      </c>
      <c r="L16" s="4">
        <v>625223.5</v>
      </c>
      <c r="M16" s="4">
        <v>403862.96</v>
      </c>
      <c r="N16" s="4">
        <v>345056.58</v>
      </c>
      <c r="O16" s="4">
        <v>489908.74000000005</v>
      </c>
      <c r="P16" s="4">
        <v>1388642.0399999998</v>
      </c>
      <c r="Q16" s="4">
        <v>31907.39</v>
      </c>
      <c r="R16" s="4">
        <v>6835973.1599999992</v>
      </c>
    </row>
    <row r="17" spans="1:6" x14ac:dyDescent="0.2">
      <c r="A17">
        <v>2625</v>
      </c>
      <c r="B17" s="8">
        <v>41671</v>
      </c>
      <c r="C17">
        <v>38874.78</v>
      </c>
    </row>
    <row r="18" spans="1:6" x14ac:dyDescent="0.2">
      <c r="A18">
        <v>3494</v>
      </c>
      <c r="B18" s="8">
        <v>41671</v>
      </c>
      <c r="C18">
        <v>35285.72</v>
      </c>
    </row>
    <row r="19" spans="1:6" x14ac:dyDescent="0.2">
      <c r="A19">
        <v>3420</v>
      </c>
      <c r="B19" s="8">
        <v>41671</v>
      </c>
      <c r="C19">
        <v>24189.48</v>
      </c>
      <c r="F19" s="8"/>
    </row>
    <row r="20" spans="1:6" x14ac:dyDescent="0.2">
      <c r="A20">
        <v>3354</v>
      </c>
      <c r="B20" s="8">
        <v>41671</v>
      </c>
      <c r="C20">
        <v>21092.400000000001</v>
      </c>
      <c r="F20" s="8"/>
    </row>
    <row r="21" spans="1:6" x14ac:dyDescent="0.2">
      <c r="A21">
        <v>3524</v>
      </c>
      <c r="B21" s="8">
        <v>41671</v>
      </c>
      <c r="C21">
        <v>8410.32</v>
      </c>
      <c r="F21" s="8"/>
    </row>
    <row r="22" spans="1:6" x14ac:dyDescent="0.2">
      <c r="A22">
        <v>2633</v>
      </c>
      <c r="B22" s="8">
        <v>41699</v>
      </c>
      <c r="C22">
        <v>193396.7</v>
      </c>
      <c r="F22" s="8"/>
    </row>
    <row r="23" spans="1:6" x14ac:dyDescent="0.2">
      <c r="A23">
        <v>4829</v>
      </c>
      <c r="B23" s="8">
        <v>41699</v>
      </c>
      <c r="C23">
        <v>178812.98</v>
      </c>
      <c r="F23" s="8"/>
    </row>
    <row r="24" spans="1:6" x14ac:dyDescent="0.2">
      <c r="A24">
        <v>3385</v>
      </c>
      <c r="B24" s="8">
        <v>41699</v>
      </c>
      <c r="C24">
        <v>146342.28</v>
      </c>
      <c r="F24" s="8"/>
    </row>
    <row r="25" spans="1:6" x14ac:dyDescent="0.2">
      <c r="A25">
        <v>3420</v>
      </c>
      <c r="B25" s="8">
        <v>41699</v>
      </c>
      <c r="C25">
        <v>104166.24</v>
      </c>
      <c r="F25" s="8"/>
    </row>
    <row r="26" spans="1:6" x14ac:dyDescent="0.2">
      <c r="A26">
        <v>3952</v>
      </c>
      <c r="B26" s="8">
        <v>41699</v>
      </c>
      <c r="C26">
        <v>66099</v>
      </c>
      <c r="F26" s="8"/>
    </row>
    <row r="27" spans="1:6" x14ac:dyDescent="0.2">
      <c r="A27">
        <v>3494</v>
      </c>
      <c r="B27" s="8">
        <v>41699</v>
      </c>
      <c r="C27">
        <v>62017.56</v>
      </c>
      <c r="F27" s="8"/>
    </row>
    <row r="28" spans="1:6" x14ac:dyDescent="0.2">
      <c r="A28">
        <v>3354</v>
      </c>
      <c r="B28" s="8">
        <v>41699</v>
      </c>
      <c r="C28">
        <v>61192.08</v>
      </c>
      <c r="F28" s="8"/>
    </row>
    <row r="29" spans="1:6" x14ac:dyDescent="0.2">
      <c r="A29">
        <v>2512</v>
      </c>
      <c r="B29" s="8">
        <v>41699</v>
      </c>
      <c r="C29">
        <v>54097.86</v>
      </c>
    </row>
    <row r="30" spans="1:6" x14ac:dyDescent="0.2">
      <c r="A30">
        <v>2625</v>
      </c>
      <c r="B30" s="8">
        <v>41699</v>
      </c>
      <c r="C30">
        <v>44769.760000000002</v>
      </c>
    </row>
    <row r="31" spans="1:6" x14ac:dyDescent="0.2">
      <c r="A31">
        <v>3524</v>
      </c>
      <c r="B31" s="8">
        <v>41699</v>
      </c>
      <c r="C31">
        <v>28235.279999999999</v>
      </c>
    </row>
    <row r="32" spans="1:6" x14ac:dyDescent="0.2">
      <c r="A32">
        <v>2633</v>
      </c>
      <c r="B32" s="8">
        <v>41730</v>
      </c>
      <c r="C32">
        <v>201371.14</v>
      </c>
    </row>
    <row r="33" spans="1:3" x14ac:dyDescent="0.2">
      <c r="A33">
        <v>4829</v>
      </c>
      <c r="B33" s="8">
        <v>41730</v>
      </c>
      <c r="C33">
        <v>164408.20000000001</v>
      </c>
    </row>
    <row r="34" spans="1:3" x14ac:dyDescent="0.2">
      <c r="A34">
        <v>3385</v>
      </c>
      <c r="B34" s="8">
        <v>41730</v>
      </c>
      <c r="C34">
        <v>75138.600000000006</v>
      </c>
    </row>
    <row r="35" spans="1:3" x14ac:dyDescent="0.2">
      <c r="A35">
        <v>3952</v>
      </c>
      <c r="B35" s="8">
        <v>41730</v>
      </c>
      <c r="C35">
        <v>67234.34</v>
      </c>
    </row>
    <row r="36" spans="1:3" x14ac:dyDescent="0.2">
      <c r="A36">
        <v>2512</v>
      </c>
      <c r="B36" s="8">
        <v>41730</v>
      </c>
      <c r="C36">
        <v>61318.18</v>
      </c>
    </row>
    <row r="37" spans="1:3" x14ac:dyDescent="0.2">
      <c r="A37">
        <v>3420</v>
      </c>
      <c r="B37" s="8">
        <v>41730</v>
      </c>
      <c r="C37">
        <v>48603.16</v>
      </c>
    </row>
    <row r="38" spans="1:3" x14ac:dyDescent="0.2">
      <c r="A38">
        <v>2625</v>
      </c>
      <c r="B38" s="8">
        <v>41730</v>
      </c>
      <c r="C38">
        <v>48560.56</v>
      </c>
    </row>
    <row r="39" spans="1:3" x14ac:dyDescent="0.2">
      <c r="A39">
        <v>3494</v>
      </c>
      <c r="B39" s="8">
        <v>41730</v>
      </c>
      <c r="C39">
        <v>37897.32</v>
      </c>
    </row>
    <row r="40" spans="1:3" x14ac:dyDescent="0.2">
      <c r="A40">
        <v>3354</v>
      </c>
      <c r="B40" s="8">
        <v>41730</v>
      </c>
      <c r="C40">
        <v>25260.36</v>
      </c>
    </row>
    <row r="41" spans="1:3" x14ac:dyDescent="0.2">
      <c r="A41">
        <v>3524</v>
      </c>
      <c r="B41" s="8">
        <v>41730</v>
      </c>
      <c r="C41">
        <v>23131.32</v>
      </c>
    </row>
    <row r="42" spans="1:3" x14ac:dyDescent="0.2">
      <c r="A42">
        <v>4829</v>
      </c>
      <c r="B42" s="8">
        <v>41760</v>
      </c>
      <c r="C42">
        <v>188383.4</v>
      </c>
    </row>
    <row r="43" spans="1:3" x14ac:dyDescent="0.2">
      <c r="A43">
        <v>2633</v>
      </c>
      <c r="B43" s="8">
        <v>41760</v>
      </c>
      <c r="C43">
        <v>161225.34</v>
      </c>
    </row>
    <row r="44" spans="1:3" x14ac:dyDescent="0.2">
      <c r="A44">
        <v>3385</v>
      </c>
      <c r="B44" s="8">
        <v>41760</v>
      </c>
      <c r="C44">
        <v>84311.28</v>
      </c>
    </row>
    <row r="45" spans="1:3" x14ac:dyDescent="0.2">
      <c r="A45">
        <v>2512</v>
      </c>
      <c r="B45" s="8">
        <v>41760</v>
      </c>
      <c r="C45">
        <v>70656.899999999994</v>
      </c>
    </row>
    <row r="46" spans="1:3" x14ac:dyDescent="0.2">
      <c r="A46">
        <v>3420</v>
      </c>
      <c r="B46" s="8">
        <v>41760</v>
      </c>
      <c r="C46">
        <v>65363.040000000001</v>
      </c>
    </row>
    <row r="47" spans="1:3" x14ac:dyDescent="0.2">
      <c r="A47">
        <v>3952</v>
      </c>
      <c r="B47" s="8">
        <v>41760</v>
      </c>
      <c r="C47">
        <v>58734.46</v>
      </c>
    </row>
    <row r="48" spans="1:3" x14ac:dyDescent="0.2">
      <c r="A48">
        <v>3354</v>
      </c>
      <c r="B48" s="8">
        <v>41760</v>
      </c>
      <c r="C48">
        <v>54814.2</v>
      </c>
    </row>
    <row r="49" spans="1:3" x14ac:dyDescent="0.2">
      <c r="A49">
        <v>3524</v>
      </c>
      <c r="B49" s="8">
        <v>41760</v>
      </c>
      <c r="C49">
        <v>47182.44</v>
      </c>
    </row>
    <row r="50" spans="1:3" x14ac:dyDescent="0.2">
      <c r="A50">
        <v>3494</v>
      </c>
      <c r="B50" s="8">
        <v>41760</v>
      </c>
      <c r="C50">
        <v>42676.92</v>
      </c>
    </row>
    <row r="51" spans="1:3" x14ac:dyDescent="0.2">
      <c r="A51">
        <v>2625</v>
      </c>
      <c r="B51" s="8">
        <v>41760</v>
      </c>
      <c r="C51">
        <v>40615.08</v>
      </c>
    </row>
    <row r="52" spans="1:3" x14ac:dyDescent="0.2">
      <c r="A52">
        <v>4829</v>
      </c>
      <c r="B52" s="8">
        <v>41791</v>
      </c>
      <c r="C52">
        <v>83636.08</v>
      </c>
    </row>
    <row r="53" spans="1:3" x14ac:dyDescent="0.2">
      <c r="A53">
        <v>3385</v>
      </c>
      <c r="B53" s="8">
        <v>41791</v>
      </c>
      <c r="C53">
        <v>83578.33</v>
      </c>
    </row>
    <row r="54" spans="1:3" x14ac:dyDescent="0.2">
      <c r="A54">
        <v>2633</v>
      </c>
      <c r="B54" s="8">
        <v>41791</v>
      </c>
      <c r="C54">
        <v>65491.81</v>
      </c>
    </row>
    <row r="55" spans="1:3" x14ac:dyDescent="0.2">
      <c r="A55">
        <v>3420</v>
      </c>
      <c r="B55" s="8">
        <v>41791</v>
      </c>
      <c r="C55">
        <v>45867.12</v>
      </c>
    </row>
    <row r="56" spans="1:3" x14ac:dyDescent="0.2">
      <c r="A56">
        <v>3354</v>
      </c>
      <c r="B56" s="8">
        <v>41791</v>
      </c>
      <c r="C56">
        <v>33826.199999999997</v>
      </c>
    </row>
    <row r="57" spans="1:3" x14ac:dyDescent="0.2">
      <c r="A57">
        <v>3494</v>
      </c>
      <c r="B57" s="8">
        <v>41791</v>
      </c>
      <c r="C57">
        <v>33245.339999999997</v>
      </c>
    </row>
    <row r="58" spans="1:3" x14ac:dyDescent="0.2">
      <c r="A58">
        <v>2512</v>
      </c>
      <c r="B58" s="8">
        <v>41791</v>
      </c>
      <c r="C58">
        <v>29698.86</v>
      </c>
    </row>
    <row r="59" spans="1:3" x14ac:dyDescent="0.2">
      <c r="A59">
        <v>3952</v>
      </c>
      <c r="B59" s="8">
        <v>41791</v>
      </c>
      <c r="C59">
        <v>28730.79</v>
      </c>
    </row>
    <row r="60" spans="1:3" x14ac:dyDescent="0.2">
      <c r="A60">
        <v>2625</v>
      </c>
      <c r="B60" s="8">
        <v>41791</v>
      </c>
      <c r="C60">
        <v>26261.57</v>
      </c>
    </row>
    <row r="61" spans="1:3" x14ac:dyDescent="0.2">
      <c r="A61">
        <v>3524</v>
      </c>
      <c r="B61" s="8">
        <v>41791</v>
      </c>
      <c r="C61">
        <v>23154.959999999999</v>
      </c>
    </row>
    <row r="62" spans="1:3" x14ac:dyDescent="0.2">
      <c r="A62">
        <v>2633</v>
      </c>
      <c r="B62" s="8">
        <v>41821</v>
      </c>
      <c r="C62">
        <v>103177.52</v>
      </c>
    </row>
    <row r="63" spans="1:3" x14ac:dyDescent="0.2">
      <c r="A63">
        <v>4829</v>
      </c>
      <c r="B63" s="8">
        <v>41821</v>
      </c>
      <c r="C63">
        <v>89695.85</v>
      </c>
    </row>
    <row r="64" spans="1:3" x14ac:dyDescent="0.2">
      <c r="A64">
        <v>3420</v>
      </c>
      <c r="B64" s="8">
        <v>41821</v>
      </c>
      <c r="C64">
        <v>44057.64</v>
      </c>
    </row>
    <row r="65" spans="1:3" x14ac:dyDescent="0.2">
      <c r="A65">
        <v>3385</v>
      </c>
      <c r="B65" s="8">
        <v>41821</v>
      </c>
      <c r="C65">
        <v>43183.38</v>
      </c>
    </row>
    <row r="66" spans="1:3" x14ac:dyDescent="0.2">
      <c r="A66">
        <v>3952</v>
      </c>
      <c r="B66" s="8">
        <v>41821</v>
      </c>
      <c r="C66">
        <v>34038.22</v>
      </c>
    </row>
    <row r="67" spans="1:3" x14ac:dyDescent="0.2">
      <c r="A67">
        <v>2512</v>
      </c>
      <c r="B67" s="8">
        <v>41821</v>
      </c>
      <c r="C67">
        <v>27010.17</v>
      </c>
    </row>
    <row r="68" spans="1:3" x14ac:dyDescent="0.2">
      <c r="A68">
        <v>3354</v>
      </c>
      <c r="B68" s="8">
        <v>41821</v>
      </c>
      <c r="C68">
        <v>25508.639999999999</v>
      </c>
    </row>
    <row r="69" spans="1:3" x14ac:dyDescent="0.2">
      <c r="A69">
        <v>3524</v>
      </c>
      <c r="B69" s="8">
        <v>41821</v>
      </c>
      <c r="C69">
        <v>22490.28</v>
      </c>
    </row>
    <row r="70" spans="1:3" x14ac:dyDescent="0.2">
      <c r="A70">
        <v>3494</v>
      </c>
      <c r="B70" s="8">
        <v>41821</v>
      </c>
      <c r="C70">
        <v>21797.16</v>
      </c>
    </row>
    <row r="71" spans="1:3" x14ac:dyDescent="0.2">
      <c r="A71">
        <v>2625</v>
      </c>
      <c r="B71" s="8">
        <v>41821</v>
      </c>
      <c r="C71">
        <v>21682.799999999999</v>
      </c>
    </row>
    <row r="72" spans="1:3" x14ac:dyDescent="0.2">
      <c r="A72">
        <v>4829</v>
      </c>
      <c r="B72" s="8">
        <v>41852</v>
      </c>
      <c r="C72">
        <v>82526.42</v>
      </c>
    </row>
    <row r="73" spans="1:3" x14ac:dyDescent="0.2">
      <c r="A73">
        <v>2633</v>
      </c>
      <c r="B73" s="8">
        <v>41852</v>
      </c>
      <c r="C73">
        <v>82495.710000000006</v>
      </c>
    </row>
    <row r="74" spans="1:3" x14ac:dyDescent="0.2">
      <c r="A74">
        <v>3385</v>
      </c>
      <c r="B74" s="8">
        <v>41852</v>
      </c>
      <c r="C74">
        <v>69011.820000000007</v>
      </c>
    </row>
    <row r="75" spans="1:3" x14ac:dyDescent="0.2">
      <c r="A75">
        <v>3420</v>
      </c>
      <c r="B75" s="8">
        <v>41852</v>
      </c>
      <c r="C75">
        <v>51868.62</v>
      </c>
    </row>
    <row r="76" spans="1:3" x14ac:dyDescent="0.2">
      <c r="A76">
        <v>3354</v>
      </c>
      <c r="B76" s="8">
        <v>41852</v>
      </c>
      <c r="C76">
        <v>42552</v>
      </c>
    </row>
    <row r="77" spans="1:3" x14ac:dyDescent="0.2">
      <c r="A77">
        <v>3952</v>
      </c>
      <c r="B77" s="8">
        <v>41852</v>
      </c>
      <c r="C77">
        <v>33396.9</v>
      </c>
    </row>
    <row r="78" spans="1:3" x14ac:dyDescent="0.2">
      <c r="A78">
        <v>2512</v>
      </c>
      <c r="B78" s="8">
        <v>41852</v>
      </c>
      <c r="C78">
        <v>32053.360000000001</v>
      </c>
    </row>
    <row r="79" spans="1:3" x14ac:dyDescent="0.2">
      <c r="A79">
        <v>3494</v>
      </c>
      <c r="B79" s="8">
        <v>41852</v>
      </c>
      <c r="C79">
        <v>29599.8</v>
      </c>
    </row>
    <row r="80" spans="1:3" x14ac:dyDescent="0.2">
      <c r="A80">
        <v>3524</v>
      </c>
      <c r="B80" s="8">
        <v>41852</v>
      </c>
      <c r="C80">
        <v>22454.639999999999</v>
      </c>
    </row>
    <row r="81" spans="1:3" x14ac:dyDescent="0.2">
      <c r="A81">
        <v>2625</v>
      </c>
      <c r="B81" s="8">
        <v>41852</v>
      </c>
      <c r="C81">
        <v>19508.78</v>
      </c>
    </row>
    <row r="82" spans="1:3" x14ac:dyDescent="0.2">
      <c r="A82">
        <v>4829</v>
      </c>
      <c r="B82" s="8">
        <v>41883</v>
      </c>
      <c r="C82">
        <v>80972.39</v>
      </c>
    </row>
    <row r="83" spans="1:3" x14ac:dyDescent="0.2">
      <c r="A83">
        <v>2633</v>
      </c>
      <c r="B83" s="8">
        <v>41883</v>
      </c>
      <c r="C83">
        <v>80119.12</v>
      </c>
    </row>
    <row r="84" spans="1:3" x14ac:dyDescent="0.2">
      <c r="A84">
        <v>2512</v>
      </c>
      <c r="B84" s="8">
        <v>41883</v>
      </c>
      <c r="C84">
        <v>42202.77</v>
      </c>
    </row>
    <row r="85" spans="1:3" x14ac:dyDescent="0.2">
      <c r="A85">
        <v>3385</v>
      </c>
      <c r="B85" s="8">
        <v>41883</v>
      </c>
      <c r="C85">
        <v>39947.64</v>
      </c>
    </row>
    <row r="86" spans="1:3" x14ac:dyDescent="0.2">
      <c r="A86">
        <v>3420</v>
      </c>
      <c r="B86" s="8">
        <v>41883</v>
      </c>
      <c r="C86">
        <v>33530.1</v>
      </c>
    </row>
    <row r="87" spans="1:3" x14ac:dyDescent="0.2">
      <c r="A87">
        <v>3524</v>
      </c>
      <c r="B87" s="8">
        <v>41883</v>
      </c>
      <c r="C87">
        <v>30215.52</v>
      </c>
    </row>
    <row r="88" spans="1:3" x14ac:dyDescent="0.2">
      <c r="A88">
        <v>3952</v>
      </c>
      <c r="B88" s="8">
        <v>41883</v>
      </c>
      <c r="C88">
        <v>29462.74</v>
      </c>
    </row>
    <row r="89" spans="1:3" x14ac:dyDescent="0.2">
      <c r="A89">
        <v>3494</v>
      </c>
      <c r="B89" s="8">
        <v>41883</v>
      </c>
      <c r="C89">
        <v>21839.7</v>
      </c>
    </row>
    <row r="90" spans="1:3" x14ac:dyDescent="0.2">
      <c r="A90">
        <v>2625</v>
      </c>
      <c r="B90" s="8">
        <v>41883</v>
      </c>
      <c r="C90">
        <v>20542.54</v>
      </c>
    </row>
    <row r="91" spans="1:3" x14ac:dyDescent="0.2">
      <c r="A91">
        <v>3354</v>
      </c>
      <c r="B91" s="8">
        <v>41883</v>
      </c>
      <c r="C91">
        <v>19576.62</v>
      </c>
    </row>
    <row r="92" spans="1:3" x14ac:dyDescent="0.2">
      <c r="A92">
        <v>4829</v>
      </c>
      <c r="B92" s="8">
        <v>41913</v>
      </c>
      <c r="C92">
        <v>94814.81</v>
      </c>
    </row>
    <row r="93" spans="1:3" x14ac:dyDescent="0.2">
      <c r="A93">
        <v>2633</v>
      </c>
      <c r="B93" s="8">
        <v>41913</v>
      </c>
      <c r="C93">
        <v>85912.01</v>
      </c>
    </row>
    <row r="94" spans="1:3" x14ac:dyDescent="0.2">
      <c r="A94">
        <v>3385</v>
      </c>
      <c r="B94" s="8">
        <v>41913</v>
      </c>
      <c r="C94">
        <v>57383.58</v>
      </c>
    </row>
    <row r="95" spans="1:3" x14ac:dyDescent="0.2">
      <c r="A95">
        <v>2512</v>
      </c>
      <c r="B95" s="8">
        <v>41913</v>
      </c>
      <c r="C95">
        <v>56406.66</v>
      </c>
    </row>
    <row r="96" spans="1:3" x14ac:dyDescent="0.2">
      <c r="A96">
        <v>3420</v>
      </c>
      <c r="B96" s="8">
        <v>41913</v>
      </c>
      <c r="C96">
        <v>49031.040000000001</v>
      </c>
    </row>
    <row r="97" spans="1:3" x14ac:dyDescent="0.2">
      <c r="A97">
        <v>3952</v>
      </c>
      <c r="B97" s="8">
        <v>41913</v>
      </c>
      <c r="C97">
        <v>35456.76</v>
      </c>
    </row>
    <row r="98" spans="1:3" x14ac:dyDescent="0.2">
      <c r="A98">
        <v>2625</v>
      </c>
      <c r="B98" s="8">
        <v>41913</v>
      </c>
      <c r="C98">
        <v>35350.99</v>
      </c>
    </row>
    <row r="99" spans="1:3" x14ac:dyDescent="0.2">
      <c r="A99">
        <v>3354</v>
      </c>
      <c r="B99" s="8">
        <v>41913</v>
      </c>
      <c r="C99">
        <v>27148.32</v>
      </c>
    </row>
    <row r="100" spans="1:3" x14ac:dyDescent="0.2">
      <c r="A100">
        <v>3494</v>
      </c>
      <c r="B100" s="8">
        <v>41913</v>
      </c>
      <c r="C100">
        <v>23294.58</v>
      </c>
    </row>
    <row r="101" spans="1:3" x14ac:dyDescent="0.2">
      <c r="A101">
        <v>3524</v>
      </c>
      <c r="B101" s="8">
        <v>41913</v>
      </c>
      <c r="C101">
        <v>21351.360000000001</v>
      </c>
    </row>
    <row r="102" spans="1:3" x14ac:dyDescent="0.2">
      <c r="A102">
        <v>4829</v>
      </c>
      <c r="B102" s="8">
        <v>41944</v>
      </c>
      <c r="C102">
        <v>76077.22</v>
      </c>
    </row>
    <row r="103" spans="1:3" x14ac:dyDescent="0.2">
      <c r="A103">
        <v>2633</v>
      </c>
      <c r="B103" s="8">
        <v>41944</v>
      </c>
      <c r="C103">
        <v>74358.03</v>
      </c>
    </row>
    <row r="104" spans="1:3" x14ac:dyDescent="0.2">
      <c r="A104">
        <v>3385</v>
      </c>
      <c r="B104" s="8">
        <v>41944</v>
      </c>
      <c r="C104">
        <v>51899.64</v>
      </c>
    </row>
    <row r="105" spans="1:3" x14ac:dyDescent="0.2">
      <c r="A105">
        <v>3494</v>
      </c>
      <c r="B105" s="8">
        <v>41944</v>
      </c>
      <c r="C105">
        <v>31033.02</v>
      </c>
    </row>
    <row r="106" spans="1:3" x14ac:dyDescent="0.2">
      <c r="A106">
        <v>3420</v>
      </c>
      <c r="B106" s="8">
        <v>41944</v>
      </c>
      <c r="C106">
        <v>26891.16</v>
      </c>
    </row>
    <row r="107" spans="1:3" x14ac:dyDescent="0.2">
      <c r="A107">
        <v>2512</v>
      </c>
      <c r="B107" s="8">
        <v>41944</v>
      </c>
      <c r="C107">
        <v>25974.91</v>
      </c>
    </row>
    <row r="108" spans="1:3" x14ac:dyDescent="0.2">
      <c r="A108">
        <v>3952</v>
      </c>
      <c r="B108" s="8">
        <v>41944</v>
      </c>
      <c r="C108">
        <v>25261.05</v>
      </c>
    </row>
    <row r="109" spans="1:3" x14ac:dyDescent="0.2">
      <c r="A109">
        <v>3354</v>
      </c>
      <c r="B109" s="8">
        <v>41944</v>
      </c>
      <c r="C109">
        <v>21196.32</v>
      </c>
    </row>
    <row r="110" spans="1:3" x14ac:dyDescent="0.2">
      <c r="A110">
        <v>2625</v>
      </c>
      <c r="B110" s="8">
        <v>41944</v>
      </c>
      <c r="C110">
        <v>20648.77</v>
      </c>
    </row>
    <row r="111" spans="1:3" x14ac:dyDescent="0.2">
      <c r="A111">
        <v>3524</v>
      </c>
      <c r="B111" s="8">
        <v>41944</v>
      </c>
      <c r="C111">
        <v>17958.12</v>
      </c>
    </row>
    <row r="112" spans="1:3" x14ac:dyDescent="0.2">
      <c r="A112">
        <v>3385</v>
      </c>
      <c r="B112" s="8">
        <v>41974</v>
      </c>
      <c r="C112">
        <v>47392.62</v>
      </c>
    </row>
    <row r="113" spans="1:3" x14ac:dyDescent="0.2">
      <c r="A113">
        <v>3420</v>
      </c>
      <c r="B113" s="8">
        <v>41974</v>
      </c>
      <c r="C113">
        <v>37120.379999999997</v>
      </c>
    </row>
    <row r="114" spans="1:3" x14ac:dyDescent="0.2">
      <c r="A114">
        <v>4829</v>
      </c>
      <c r="B114" s="8">
        <v>41974</v>
      </c>
      <c r="C114">
        <v>30634.97</v>
      </c>
    </row>
    <row r="115" spans="1:3" x14ac:dyDescent="0.2">
      <c r="A115">
        <v>2633</v>
      </c>
      <c r="B115" s="8">
        <v>41974</v>
      </c>
      <c r="C115">
        <v>28909.88</v>
      </c>
    </row>
    <row r="116" spans="1:3" x14ac:dyDescent="0.2">
      <c r="A116">
        <v>3524</v>
      </c>
      <c r="B116" s="8">
        <v>41974</v>
      </c>
      <c r="C116">
        <v>18407.46</v>
      </c>
    </row>
    <row r="117" spans="1:3" x14ac:dyDescent="0.2">
      <c r="A117">
        <v>3494</v>
      </c>
      <c r="B117" s="8">
        <v>41974</v>
      </c>
      <c r="C117">
        <v>16110.36</v>
      </c>
    </row>
    <row r="118" spans="1:3" x14ac:dyDescent="0.2">
      <c r="A118">
        <v>2512</v>
      </c>
      <c r="B118" s="8">
        <v>41974</v>
      </c>
      <c r="C118">
        <v>14475.15</v>
      </c>
    </row>
    <row r="119" spans="1:3" x14ac:dyDescent="0.2">
      <c r="A119">
        <v>3952</v>
      </c>
      <c r="B119" s="8">
        <v>41974</v>
      </c>
      <c r="C119">
        <v>14204.4</v>
      </c>
    </row>
    <row r="120" spans="1:3" x14ac:dyDescent="0.2">
      <c r="A120">
        <v>3354</v>
      </c>
      <c r="B120" s="8">
        <v>41974</v>
      </c>
      <c r="C120">
        <v>11378.94</v>
      </c>
    </row>
    <row r="121" spans="1:3" x14ac:dyDescent="0.2">
      <c r="A121">
        <v>2625</v>
      </c>
      <c r="B121" s="8">
        <v>41974</v>
      </c>
      <c r="C121">
        <v>8493.2900000000009</v>
      </c>
    </row>
    <row r="122" spans="1:3" x14ac:dyDescent="0.2">
      <c r="A122" t="s">
        <v>135</v>
      </c>
      <c r="B122" s="8">
        <v>41640</v>
      </c>
      <c r="C122">
        <v>3617.59</v>
      </c>
    </row>
    <row r="123" spans="1:3" x14ac:dyDescent="0.2">
      <c r="A123" t="s">
        <v>135</v>
      </c>
      <c r="B123" s="8">
        <v>41671</v>
      </c>
      <c r="C123">
        <v>3357.75</v>
      </c>
    </row>
    <row r="124" spans="1:3" x14ac:dyDescent="0.2">
      <c r="A124" t="s">
        <v>135</v>
      </c>
      <c r="B124" s="8">
        <v>41699</v>
      </c>
      <c r="C124">
        <v>3721.51</v>
      </c>
    </row>
    <row r="125" spans="1:3" x14ac:dyDescent="0.2">
      <c r="A125" t="s">
        <v>135</v>
      </c>
      <c r="B125" s="8">
        <v>41730</v>
      </c>
      <c r="C125">
        <v>4021.04</v>
      </c>
    </row>
    <row r="126" spans="1:3" x14ac:dyDescent="0.2">
      <c r="A126" t="s">
        <v>135</v>
      </c>
      <c r="B126" s="8">
        <v>41760</v>
      </c>
      <c r="C126">
        <v>3703.92</v>
      </c>
    </row>
    <row r="127" spans="1:3" x14ac:dyDescent="0.2">
      <c r="A127" t="s">
        <v>135</v>
      </c>
      <c r="B127" s="8">
        <v>41791</v>
      </c>
      <c r="C127">
        <v>2074.34</v>
      </c>
    </row>
    <row r="128" spans="1:3" x14ac:dyDescent="0.2">
      <c r="A128" t="s">
        <v>135</v>
      </c>
      <c r="B128" s="8">
        <v>41821</v>
      </c>
      <c r="C128">
        <v>2062.84</v>
      </c>
    </row>
    <row r="129" spans="1:3" x14ac:dyDescent="0.2">
      <c r="A129" t="s">
        <v>135</v>
      </c>
      <c r="B129" s="8">
        <v>41852</v>
      </c>
      <c r="C129">
        <v>2083.16</v>
      </c>
    </row>
    <row r="130" spans="1:3" x14ac:dyDescent="0.2">
      <c r="A130" t="s">
        <v>135</v>
      </c>
      <c r="B130" s="8">
        <v>41883</v>
      </c>
      <c r="C130">
        <v>2062.7399999999998</v>
      </c>
    </row>
    <row r="131" spans="1:3" x14ac:dyDescent="0.2">
      <c r="A131" t="s">
        <v>135</v>
      </c>
      <c r="B131" s="8">
        <v>41913</v>
      </c>
      <c r="C131">
        <v>2316.36</v>
      </c>
    </row>
    <row r="132" spans="1:3" x14ac:dyDescent="0.2">
      <c r="A132" t="s">
        <v>135</v>
      </c>
      <c r="B132" s="8">
        <v>41944</v>
      </c>
      <c r="C132">
        <v>1870.29</v>
      </c>
    </row>
    <row r="133" spans="1:3" x14ac:dyDescent="0.2">
      <c r="A133" t="s">
        <v>135</v>
      </c>
      <c r="B133" s="8">
        <v>41974</v>
      </c>
      <c r="C133">
        <v>1015.85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C814-812D-2B48-9C0D-391B3E53D3F9}">
  <dimension ref="A1:D25"/>
  <sheetViews>
    <sheetView topLeftCell="A6" workbookViewId="0">
      <selection activeCell="K39" sqref="K39"/>
    </sheetView>
  </sheetViews>
  <sheetFormatPr baseColWidth="10" defaultRowHeight="16" x14ac:dyDescent="0.2"/>
  <cols>
    <col min="1" max="1" width="32.1640625" bestFit="1" customWidth="1"/>
    <col min="2" max="2" width="21.5" bestFit="1" customWidth="1"/>
    <col min="3" max="3" width="19.1640625" bestFit="1" customWidth="1"/>
    <col min="4" max="4" width="19.33203125" bestFit="1" customWidth="1"/>
    <col min="5" max="10" width="13" bestFit="1" customWidth="1"/>
    <col min="11" max="11" width="21.5" bestFit="1" customWidth="1"/>
    <col min="12" max="13" width="9.6640625" bestFit="1" customWidth="1"/>
    <col min="14" max="14" width="7.6640625" bestFit="1" customWidth="1"/>
    <col min="15" max="15" width="10.83203125" bestFit="1" customWidth="1"/>
    <col min="16" max="18" width="11.83203125" bestFit="1" customWidth="1"/>
    <col min="19" max="19" width="13" bestFit="1" customWidth="1"/>
    <col min="20" max="20" width="23.6640625" bestFit="1" customWidth="1"/>
    <col min="21" max="21" width="26" bestFit="1" customWidth="1"/>
    <col min="22" max="30" width="32.83203125" bestFit="1" customWidth="1"/>
    <col min="31" max="31" width="23.1640625" bestFit="1" customWidth="1"/>
    <col min="32" max="32" width="25.6640625" bestFit="1" customWidth="1"/>
    <col min="33" max="33" width="23.6640625" bestFit="1" customWidth="1"/>
  </cols>
  <sheetData>
    <row r="1" spans="1:4" x14ac:dyDescent="0.2">
      <c r="A1" s="1" t="s">
        <v>157</v>
      </c>
      <c r="B1" s="1" t="s">
        <v>158</v>
      </c>
      <c r="C1" s="1" t="s">
        <v>159</v>
      </c>
      <c r="D1" s="1" t="s">
        <v>160</v>
      </c>
    </row>
    <row r="2" spans="1:4" x14ac:dyDescent="0.2">
      <c r="A2" s="1" t="s">
        <v>147</v>
      </c>
      <c r="B2">
        <v>48053061.909999996</v>
      </c>
      <c r="C2">
        <v>2906800.2</v>
      </c>
      <c r="D2">
        <v>6.05</v>
      </c>
    </row>
    <row r="3" spans="1:4" x14ac:dyDescent="0.2">
      <c r="A3" s="1" t="s">
        <v>148</v>
      </c>
      <c r="B3">
        <v>48045532.509999998</v>
      </c>
      <c r="C3">
        <v>6963649.9800000004</v>
      </c>
      <c r="D3">
        <v>14.49</v>
      </c>
    </row>
    <row r="4" spans="1:4" x14ac:dyDescent="0.2">
      <c r="A4" s="1" t="s">
        <v>149</v>
      </c>
      <c r="B4">
        <v>31600618.5</v>
      </c>
      <c r="C4">
        <v>54876.42</v>
      </c>
      <c r="D4">
        <v>0.17</v>
      </c>
    </row>
    <row r="5" spans="1:4" x14ac:dyDescent="0.2">
      <c r="A5" s="1" t="s">
        <v>150</v>
      </c>
      <c r="B5">
        <v>23879524.629999999</v>
      </c>
      <c r="C5">
        <v>1140</v>
      </c>
      <c r="D5">
        <v>0</v>
      </c>
    </row>
    <row r="6" spans="1:4" x14ac:dyDescent="0.2">
      <c r="A6" s="1" t="s">
        <v>151</v>
      </c>
      <c r="B6">
        <v>21411263.640000001</v>
      </c>
      <c r="C6">
        <v>1571728.53</v>
      </c>
      <c r="D6">
        <v>7.34</v>
      </c>
    </row>
    <row r="7" spans="1:4" x14ac:dyDescent="0.2">
      <c r="A7" s="1" t="s">
        <v>152</v>
      </c>
      <c r="B7">
        <v>20924480.190000001</v>
      </c>
      <c r="C7">
        <v>2735367.09</v>
      </c>
      <c r="D7">
        <v>13.07</v>
      </c>
    </row>
    <row r="8" spans="1:4" x14ac:dyDescent="0.2">
      <c r="A8" s="1" t="s">
        <v>153</v>
      </c>
      <c r="B8">
        <v>19339201.420000002</v>
      </c>
      <c r="C8">
        <v>13217102.539999999</v>
      </c>
      <c r="D8">
        <v>68.34</v>
      </c>
    </row>
    <row r="9" spans="1:4" x14ac:dyDescent="0.2">
      <c r="A9" s="1" t="s">
        <v>154</v>
      </c>
      <c r="B9">
        <v>17647970.350000001</v>
      </c>
      <c r="C9">
        <v>0</v>
      </c>
      <c r="D9">
        <v>0</v>
      </c>
    </row>
    <row r="10" spans="1:4" x14ac:dyDescent="0.2">
      <c r="A10" s="1" t="s">
        <v>155</v>
      </c>
      <c r="B10">
        <v>12729072.76</v>
      </c>
      <c r="C10">
        <v>193326</v>
      </c>
      <c r="D10">
        <v>1.52</v>
      </c>
    </row>
    <row r="11" spans="1:4" x14ac:dyDescent="0.2">
      <c r="A11" s="1" t="s">
        <v>156</v>
      </c>
      <c r="B11">
        <v>12037250.550000001</v>
      </c>
      <c r="C11">
        <v>92084.54</v>
      </c>
      <c r="D11">
        <v>0.76</v>
      </c>
    </row>
    <row r="14" spans="1:4" x14ac:dyDescent="0.2">
      <c r="A14" s="5" t="s">
        <v>113</v>
      </c>
      <c r="B14" t="s">
        <v>162</v>
      </c>
      <c r="C14" t="s">
        <v>161</v>
      </c>
    </row>
    <row r="15" spans="1:4" x14ac:dyDescent="0.2">
      <c r="A15" s="6" t="s">
        <v>148</v>
      </c>
      <c r="B15" s="4">
        <v>6963649.9800000004</v>
      </c>
      <c r="C15" s="4">
        <v>48045532.509999998</v>
      </c>
    </row>
    <row r="16" spans="1:4" x14ac:dyDescent="0.2">
      <c r="A16" s="6" t="s">
        <v>156</v>
      </c>
      <c r="B16" s="4">
        <v>92084.54</v>
      </c>
      <c r="C16" s="4">
        <v>12037250.550000001</v>
      </c>
    </row>
    <row r="17" spans="1:3" x14ac:dyDescent="0.2">
      <c r="A17" s="6" t="s">
        <v>147</v>
      </c>
      <c r="B17" s="4">
        <v>2906800.2</v>
      </c>
      <c r="C17" s="4">
        <v>48053061.909999996</v>
      </c>
    </row>
    <row r="18" spans="1:3" x14ac:dyDescent="0.2">
      <c r="A18" s="6" t="s">
        <v>150</v>
      </c>
      <c r="B18" s="4">
        <v>1140</v>
      </c>
      <c r="C18" s="4">
        <v>23879524.629999999</v>
      </c>
    </row>
    <row r="19" spans="1:3" x14ac:dyDescent="0.2">
      <c r="A19" s="6" t="s">
        <v>155</v>
      </c>
      <c r="B19" s="4">
        <v>193326</v>
      </c>
      <c r="C19" s="4">
        <v>12729072.76</v>
      </c>
    </row>
    <row r="20" spans="1:3" x14ac:dyDescent="0.2">
      <c r="A20" s="6" t="s">
        <v>149</v>
      </c>
      <c r="B20" s="4">
        <v>54876.42</v>
      </c>
      <c r="C20" s="4">
        <v>31600618.5</v>
      </c>
    </row>
    <row r="21" spans="1:3" x14ac:dyDescent="0.2">
      <c r="A21" s="6" t="s">
        <v>152</v>
      </c>
      <c r="B21" s="4">
        <v>2735367.09</v>
      </c>
      <c r="C21" s="4">
        <v>20924480.190000001</v>
      </c>
    </row>
    <row r="22" spans="1:3" x14ac:dyDescent="0.2">
      <c r="A22" s="6" t="s">
        <v>154</v>
      </c>
      <c r="B22" s="4">
        <v>0</v>
      </c>
      <c r="C22" s="4">
        <v>17647970.350000001</v>
      </c>
    </row>
    <row r="23" spans="1:3" x14ac:dyDescent="0.2">
      <c r="A23" s="6" t="s">
        <v>151</v>
      </c>
      <c r="B23" s="4">
        <v>1571728.53</v>
      </c>
      <c r="C23" s="4">
        <v>21411263.640000001</v>
      </c>
    </row>
    <row r="24" spans="1:3" x14ac:dyDescent="0.2">
      <c r="A24" s="6" t="s">
        <v>153</v>
      </c>
      <c r="B24" s="4">
        <v>13217102.539999999</v>
      </c>
      <c r="C24" s="4">
        <v>19339201.420000002</v>
      </c>
    </row>
    <row r="25" spans="1:3" x14ac:dyDescent="0.2">
      <c r="A25" s="6" t="s">
        <v>114</v>
      </c>
      <c r="B25" s="4">
        <v>27736075.299999997</v>
      </c>
      <c r="C25" s="4">
        <v>255667976.45999998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7675-31F0-4549-A00F-3382B773F177}">
  <dimension ref="A1:X97"/>
  <sheetViews>
    <sheetView topLeftCell="B1" workbookViewId="0">
      <selection activeCell="M19" sqref="M19"/>
    </sheetView>
  </sheetViews>
  <sheetFormatPr baseColWidth="10" defaultRowHeight="16" x14ac:dyDescent="0.2"/>
  <cols>
    <col min="1" max="1" width="12.33203125" customWidth="1"/>
    <col min="2" max="2" width="36" bestFit="1" customWidth="1"/>
    <col min="3" max="3" width="30.83203125" bestFit="1" customWidth="1"/>
    <col min="4" max="4" width="11" bestFit="1" customWidth="1"/>
    <col min="5" max="5" width="12.6640625" bestFit="1" customWidth="1"/>
    <col min="7" max="7" width="11" customWidth="1"/>
    <col min="8" max="8" width="29" bestFit="1" customWidth="1"/>
    <col min="11" max="11" width="32.83203125" bestFit="1" customWidth="1"/>
    <col min="12" max="12" width="17.1640625" bestFit="1" customWidth="1"/>
    <col min="13" max="13" width="15.1640625" bestFit="1" customWidth="1"/>
    <col min="14" max="14" width="23.83203125" bestFit="1" customWidth="1"/>
    <col min="15" max="15" width="12.83203125" bestFit="1" customWidth="1"/>
    <col min="16" max="16" width="31.1640625" bestFit="1" customWidth="1"/>
    <col min="17" max="17" width="15.33203125" bestFit="1" customWidth="1"/>
    <col min="18" max="18" width="13.83203125" bestFit="1" customWidth="1"/>
    <col min="19" max="19" width="30.6640625" bestFit="1" customWidth="1"/>
    <col min="20" max="20" width="23.83203125" bestFit="1" customWidth="1"/>
    <col min="21" max="21" width="17.5" bestFit="1" customWidth="1"/>
    <col min="22" max="22" width="14.1640625" bestFit="1" customWidth="1"/>
    <col min="23" max="23" width="21.6640625" bestFit="1" customWidth="1"/>
    <col min="24" max="24" width="21.1640625" bestFit="1" customWidth="1"/>
    <col min="25" max="26" width="10.5" bestFit="1" customWidth="1"/>
    <col min="27" max="27" width="20.5" bestFit="1" customWidth="1"/>
    <col min="28" max="28" width="30.6640625" bestFit="1" customWidth="1"/>
    <col min="29" max="29" width="15.33203125" bestFit="1" customWidth="1"/>
    <col min="30" max="30" width="19.33203125" bestFit="1" customWidth="1"/>
    <col min="31" max="31" width="16.33203125" bestFit="1" customWidth="1"/>
    <col min="32" max="32" width="20.1640625" bestFit="1" customWidth="1"/>
    <col min="33" max="33" width="15.83203125" bestFit="1" customWidth="1"/>
    <col min="34" max="34" width="19.83203125" bestFit="1" customWidth="1"/>
    <col min="35" max="35" width="19.1640625" bestFit="1" customWidth="1"/>
    <col min="36" max="36" width="15.83203125" bestFit="1" customWidth="1"/>
    <col min="37" max="37" width="24.33203125" bestFit="1" customWidth="1"/>
    <col min="38" max="38" width="22.33203125" bestFit="1" customWidth="1"/>
    <col min="39" max="39" width="31.1640625" bestFit="1" customWidth="1"/>
    <col min="40" max="40" width="23.6640625" bestFit="1" customWidth="1"/>
    <col min="41" max="41" width="20.5" bestFit="1" customWidth="1"/>
    <col min="42" max="42" width="19.83203125" bestFit="1" customWidth="1"/>
    <col min="43" max="43" width="19.33203125" bestFit="1" customWidth="1"/>
    <col min="44" max="44" width="27.1640625" bestFit="1" customWidth="1"/>
    <col min="45" max="45" width="13.5" bestFit="1" customWidth="1"/>
    <col min="46" max="46" width="14.6640625" bestFit="1" customWidth="1"/>
    <col min="47" max="47" width="25.1640625" bestFit="1" customWidth="1"/>
    <col min="48" max="48" width="10.5" bestFit="1" customWidth="1"/>
  </cols>
  <sheetData>
    <row r="1" spans="1:13" x14ac:dyDescent="0.2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I1" s="1" t="s">
        <v>207</v>
      </c>
      <c r="J1" s="1" t="s">
        <v>225</v>
      </c>
      <c r="M1" s="1"/>
    </row>
    <row r="2" spans="1:13" x14ac:dyDescent="0.2">
      <c r="A2">
        <v>64867</v>
      </c>
      <c r="B2" t="s">
        <v>164</v>
      </c>
      <c r="C2" t="s">
        <v>139</v>
      </c>
      <c r="D2" s="12">
        <v>17.010000000000002</v>
      </c>
      <c r="E2">
        <v>4192573.77</v>
      </c>
      <c r="G2" s="9"/>
      <c r="I2" t="s">
        <v>226</v>
      </c>
      <c r="J2" s="13">
        <v>511078</v>
      </c>
    </row>
    <row r="3" spans="1:13" x14ac:dyDescent="0.2">
      <c r="A3">
        <v>64866</v>
      </c>
      <c r="B3" t="s">
        <v>164</v>
      </c>
      <c r="C3" t="s">
        <v>139</v>
      </c>
      <c r="D3" s="12">
        <v>13.47</v>
      </c>
      <c r="E3">
        <v>2852932.53</v>
      </c>
      <c r="G3" s="7"/>
      <c r="I3" t="s">
        <v>227</v>
      </c>
      <c r="J3" s="7">
        <v>299813</v>
      </c>
    </row>
    <row r="4" spans="1:13" x14ac:dyDescent="0.2">
      <c r="A4">
        <v>64868</v>
      </c>
      <c r="B4" t="s">
        <v>164</v>
      </c>
      <c r="C4" t="s">
        <v>139</v>
      </c>
      <c r="D4" s="12">
        <v>23</v>
      </c>
      <c r="E4">
        <v>1915463</v>
      </c>
      <c r="I4" t="s">
        <v>228</v>
      </c>
      <c r="J4">
        <v>287509</v>
      </c>
      <c r="M4" s="12"/>
    </row>
    <row r="5" spans="1:13" x14ac:dyDescent="0.2">
      <c r="A5">
        <v>86887</v>
      </c>
      <c r="B5" t="s">
        <v>165</v>
      </c>
      <c r="C5" t="s">
        <v>166</v>
      </c>
      <c r="D5" s="12">
        <v>18.72</v>
      </c>
      <c r="E5">
        <v>1873609.92</v>
      </c>
      <c r="I5" t="s">
        <v>223</v>
      </c>
      <c r="J5" s="9">
        <v>279212</v>
      </c>
    </row>
    <row r="6" spans="1:13" x14ac:dyDescent="0.2">
      <c r="A6">
        <v>86886</v>
      </c>
      <c r="B6" t="s">
        <v>165</v>
      </c>
      <c r="C6" t="s">
        <v>166</v>
      </c>
      <c r="D6" s="12">
        <v>14.78</v>
      </c>
      <c r="E6">
        <v>1168521.58</v>
      </c>
      <c r="G6" s="7"/>
      <c r="I6" t="s">
        <v>224</v>
      </c>
      <c r="J6" s="7">
        <v>192592</v>
      </c>
    </row>
    <row r="7" spans="1:13" x14ac:dyDescent="0.2">
      <c r="A7">
        <v>64858</v>
      </c>
      <c r="B7" t="s">
        <v>167</v>
      </c>
      <c r="C7" t="s">
        <v>139</v>
      </c>
      <c r="D7" s="12">
        <v>44.58</v>
      </c>
      <c r="E7">
        <v>976302</v>
      </c>
      <c r="M7" s="12"/>
    </row>
    <row r="8" spans="1:13" x14ac:dyDescent="0.2">
      <c r="A8">
        <v>86888</v>
      </c>
      <c r="B8" t="s">
        <v>168</v>
      </c>
      <c r="C8" t="s">
        <v>166</v>
      </c>
      <c r="D8" s="12">
        <v>28.74</v>
      </c>
      <c r="E8">
        <v>769168.62</v>
      </c>
    </row>
    <row r="9" spans="1:13" x14ac:dyDescent="0.2">
      <c r="A9">
        <v>64865</v>
      </c>
      <c r="B9" t="s">
        <v>169</v>
      </c>
      <c r="C9" t="s">
        <v>139</v>
      </c>
      <c r="D9" s="12">
        <v>13.01</v>
      </c>
      <c r="E9">
        <v>663106.68999999994</v>
      </c>
    </row>
    <row r="10" spans="1:13" x14ac:dyDescent="0.2">
      <c r="A10">
        <v>64867</v>
      </c>
      <c r="B10" t="s">
        <v>164</v>
      </c>
      <c r="C10" t="s">
        <v>139</v>
      </c>
      <c r="D10" s="12">
        <v>17.010000000000002</v>
      </c>
      <c r="E10">
        <v>566330.93999999994</v>
      </c>
    </row>
    <row r="11" spans="1:13" x14ac:dyDescent="0.2">
      <c r="A11">
        <v>64866</v>
      </c>
      <c r="B11" t="s">
        <v>164</v>
      </c>
      <c r="C11" t="s">
        <v>139</v>
      </c>
      <c r="D11" s="12">
        <v>13.47</v>
      </c>
      <c r="E11">
        <v>469213.98</v>
      </c>
    </row>
    <row r="12" spans="1:13" x14ac:dyDescent="0.2">
      <c r="A12">
        <v>64868</v>
      </c>
      <c r="B12" t="s">
        <v>164</v>
      </c>
      <c r="C12" t="s">
        <v>139</v>
      </c>
      <c r="D12" s="12">
        <v>23</v>
      </c>
      <c r="E12">
        <v>339089</v>
      </c>
    </row>
    <row r="13" spans="1:13" x14ac:dyDescent="0.2">
      <c r="A13">
        <v>64864</v>
      </c>
      <c r="B13" t="s">
        <v>170</v>
      </c>
      <c r="C13" t="s">
        <v>139</v>
      </c>
      <c r="D13" s="12">
        <v>8</v>
      </c>
      <c r="E13">
        <v>302704</v>
      </c>
    </row>
    <row r="14" spans="1:13" x14ac:dyDescent="0.2">
      <c r="A14">
        <v>86884</v>
      </c>
      <c r="B14" t="s">
        <v>165</v>
      </c>
      <c r="C14" t="s">
        <v>166</v>
      </c>
      <c r="D14" s="12">
        <v>6.8</v>
      </c>
      <c r="E14">
        <v>247030.39999999999</v>
      </c>
    </row>
    <row r="15" spans="1:13" x14ac:dyDescent="0.2">
      <c r="A15">
        <v>64858</v>
      </c>
      <c r="B15" t="s">
        <v>167</v>
      </c>
      <c r="C15" t="s">
        <v>139</v>
      </c>
      <c r="D15" s="12">
        <v>44.58</v>
      </c>
      <c r="E15">
        <v>210373.02</v>
      </c>
    </row>
    <row r="16" spans="1:13" x14ac:dyDescent="0.2">
      <c r="A16">
        <v>64857</v>
      </c>
      <c r="B16" t="s">
        <v>164</v>
      </c>
      <c r="C16" t="s">
        <v>139</v>
      </c>
      <c r="D16" s="12">
        <v>8</v>
      </c>
      <c r="E16">
        <v>204104</v>
      </c>
    </row>
    <row r="17" spans="1:13" x14ac:dyDescent="0.2">
      <c r="A17">
        <v>86884</v>
      </c>
      <c r="B17" t="s">
        <v>165</v>
      </c>
      <c r="C17" t="s">
        <v>166</v>
      </c>
      <c r="D17" s="12">
        <v>6.81</v>
      </c>
      <c r="E17">
        <v>170420.25</v>
      </c>
    </row>
    <row r="18" spans="1:13" x14ac:dyDescent="0.2">
      <c r="A18">
        <v>67267</v>
      </c>
      <c r="B18" t="s">
        <v>171</v>
      </c>
      <c r="C18" t="s">
        <v>141</v>
      </c>
      <c r="D18" s="12">
        <v>17.62</v>
      </c>
      <c r="E18">
        <v>169398.68</v>
      </c>
    </row>
    <row r="19" spans="1:13" x14ac:dyDescent="0.2">
      <c r="A19">
        <v>86885</v>
      </c>
      <c r="B19" t="s">
        <v>172</v>
      </c>
      <c r="C19" t="s">
        <v>166</v>
      </c>
      <c r="D19" s="12">
        <v>14.78</v>
      </c>
      <c r="E19">
        <v>129132.86</v>
      </c>
    </row>
    <row r="20" spans="1:13" x14ac:dyDescent="0.2">
      <c r="A20">
        <v>67266</v>
      </c>
      <c r="B20" t="s">
        <v>171</v>
      </c>
      <c r="C20" t="s">
        <v>141</v>
      </c>
      <c r="D20" s="12">
        <v>13.88</v>
      </c>
      <c r="E20">
        <v>119701.12</v>
      </c>
    </row>
    <row r="21" spans="1:13" x14ac:dyDescent="0.2">
      <c r="A21">
        <v>64865</v>
      </c>
      <c r="B21" t="s">
        <v>169</v>
      </c>
      <c r="C21" t="s">
        <v>139</v>
      </c>
      <c r="D21" s="12">
        <v>13.01</v>
      </c>
      <c r="E21">
        <v>119184.61</v>
      </c>
    </row>
    <row r="22" spans="1:13" x14ac:dyDescent="0.2">
      <c r="A22">
        <v>67267</v>
      </c>
      <c r="B22" t="s">
        <v>171</v>
      </c>
      <c r="C22" t="s">
        <v>141</v>
      </c>
      <c r="D22" s="12">
        <v>17.63</v>
      </c>
      <c r="E22">
        <v>118755.68</v>
      </c>
    </row>
    <row r="23" spans="1:13" x14ac:dyDescent="0.2">
      <c r="A23">
        <v>64857</v>
      </c>
      <c r="B23" t="s">
        <v>170</v>
      </c>
      <c r="C23" t="s">
        <v>139</v>
      </c>
      <c r="D23" s="12">
        <v>8</v>
      </c>
      <c r="E23">
        <v>116528</v>
      </c>
    </row>
    <row r="24" spans="1:13" x14ac:dyDescent="0.2">
      <c r="A24">
        <v>86883</v>
      </c>
      <c r="B24" t="s">
        <v>165</v>
      </c>
      <c r="C24" t="s">
        <v>166</v>
      </c>
      <c r="D24" s="12">
        <v>3.77</v>
      </c>
      <c r="E24">
        <v>112059.48</v>
      </c>
    </row>
    <row r="25" spans="1:13" x14ac:dyDescent="0.2">
      <c r="A25">
        <v>86807</v>
      </c>
      <c r="B25" t="s">
        <v>173</v>
      </c>
      <c r="C25" t="s">
        <v>166</v>
      </c>
      <c r="D25" s="12">
        <v>14.78</v>
      </c>
      <c r="E25">
        <v>110953.46</v>
      </c>
    </row>
    <row r="26" spans="1:13" x14ac:dyDescent="0.2">
      <c r="A26">
        <v>86916</v>
      </c>
      <c r="B26" t="s">
        <v>174</v>
      </c>
      <c r="C26" t="s">
        <v>166</v>
      </c>
      <c r="D26" s="12">
        <v>17.47</v>
      </c>
      <c r="E26">
        <v>110218.23</v>
      </c>
    </row>
    <row r="27" spans="1:13" x14ac:dyDescent="0.2">
      <c r="A27">
        <v>77472</v>
      </c>
      <c r="B27" t="s">
        <v>175</v>
      </c>
      <c r="C27" t="s">
        <v>176</v>
      </c>
      <c r="D27" s="12">
        <v>16.47</v>
      </c>
      <c r="E27">
        <v>109377.27</v>
      </c>
      <c r="M27" s="12"/>
    </row>
    <row r="28" spans="1:13" x14ac:dyDescent="0.2">
      <c r="A28">
        <v>64864</v>
      </c>
      <c r="B28" t="s">
        <v>170</v>
      </c>
      <c r="C28" t="s">
        <v>139</v>
      </c>
      <c r="D28" s="12">
        <v>8</v>
      </c>
      <c r="E28">
        <v>108952</v>
      </c>
    </row>
    <row r="29" spans="1:13" x14ac:dyDescent="0.2">
      <c r="A29">
        <v>64856</v>
      </c>
      <c r="B29" t="s">
        <v>177</v>
      </c>
      <c r="C29" t="s">
        <v>139</v>
      </c>
      <c r="D29" s="12">
        <v>5</v>
      </c>
      <c r="E29">
        <v>94060</v>
      </c>
    </row>
    <row r="30" spans="1:13" x14ac:dyDescent="0.2">
      <c r="A30">
        <v>86881</v>
      </c>
      <c r="B30" t="s">
        <v>178</v>
      </c>
      <c r="C30" t="s">
        <v>166</v>
      </c>
      <c r="D30" s="12">
        <v>7.07</v>
      </c>
      <c r="E30">
        <v>91012.11</v>
      </c>
    </row>
    <row r="31" spans="1:13" x14ac:dyDescent="0.2">
      <c r="A31">
        <v>27585</v>
      </c>
      <c r="B31" t="s">
        <v>179</v>
      </c>
      <c r="C31" t="s">
        <v>142</v>
      </c>
      <c r="D31" s="12">
        <v>10.73</v>
      </c>
      <c r="E31">
        <v>81226.100000000006</v>
      </c>
    </row>
    <row r="32" spans="1:13" x14ac:dyDescent="0.2">
      <c r="A32">
        <v>27454</v>
      </c>
      <c r="B32" t="s">
        <v>180</v>
      </c>
      <c r="C32" t="s">
        <v>210</v>
      </c>
      <c r="D32" s="12">
        <v>11.93</v>
      </c>
      <c r="E32">
        <v>78797.649999999994</v>
      </c>
    </row>
    <row r="33" spans="1:24" x14ac:dyDescent="0.2">
      <c r="A33">
        <v>73702</v>
      </c>
      <c r="B33" t="s">
        <v>181</v>
      </c>
      <c r="C33" t="s">
        <v>210</v>
      </c>
      <c r="D33" s="12">
        <v>11.91</v>
      </c>
      <c r="E33">
        <v>66719.820000000007</v>
      </c>
    </row>
    <row r="34" spans="1:24" x14ac:dyDescent="0.2">
      <c r="A34">
        <v>86916</v>
      </c>
      <c r="B34" t="s">
        <v>174</v>
      </c>
      <c r="C34" t="s">
        <v>166</v>
      </c>
      <c r="D34" s="12">
        <v>17.48</v>
      </c>
      <c r="E34">
        <v>63137.760000000002</v>
      </c>
    </row>
    <row r="35" spans="1:24" x14ac:dyDescent="0.2">
      <c r="A35">
        <v>86796</v>
      </c>
      <c r="B35" t="s">
        <v>182</v>
      </c>
      <c r="C35" t="s">
        <v>210</v>
      </c>
      <c r="D35" s="12">
        <v>7.55</v>
      </c>
      <c r="E35">
        <v>62045.9</v>
      </c>
    </row>
    <row r="36" spans="1:24" x14ac:dyDescent="0.2">
      <c r="A36">
        <v>86796</v>
      </c>
      <c r="B36" t="s">
        <v>182</v>
      </c>
      <c r="C36" t="s">
        <v>210</v>
      </c>
      <c r="D36" s="12">
        <v>8.0500000000000007</v>
      </c>
      <c r="E36">
        <v>55778.45</v>
      </c>
    </row>
    <row r="37" spans="1:24" x14ac:dyDescent="0.2">
      <c r="A37">
        <v>64863</v>
      </c>
      <c r="B37" t="s">
        <v>164</v>
      </c>
      <c r="C37" t="s">
        <v>139</v>
      </c>
      <c r="D37" s="12">
        <v>5</v>
      </c>
      <c r="E37">
        <v>51095</v>
      </c>
    </row>
    <row r="38" spans="1:24" x14ac:dyDescent="0.2">
      <c r="A38">
        <v>86796</v>
      </c>
      <c r="B38" t="s">
        <v>182</v>
      </c>
      <c r="C38" t="s">
        <v>210</v>
      </c>
      <c r="D38" s="12">
        <v>8.06</v>
      </c>
      <c r="E38">
        <v>44128.5</v>
      </c>
      <c r="M38" s="12"/>
    </row>
    <row r="39" spans="1:24" x14ac:dyDescent="0.2">
      <c r="A39">
        <v>77089</v>
      </c>
      <c r="B39" t="s">
        <v>183</v>
      </c>
      <c r="C39" t="s">
        <v>166</v>
      </c>
      <c r="D39" s="12">
        <v>14.78</v>
      </c>
      <c r="E39">
        <v>38708.82</v>
      </c>
    </row>
    <row r="40" spans="1:24" x14ac:dyDescent="0.2">
      <c r="A40">
        <v>27453</v>
      </c>
      <c r="B40" t="s">
        <v>184</v>
      </c>
      <c r="C40" t="s">
        <v>210</v>
      </c>
      <c r="D40" s="12">
        <v>6.38</v>
      </c>
      <c r="E40">
        <v>31179.06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2">
      <c r="A41">
        <v>73702</v>
      </c>
      <c r="B41" t="s">
        <v>181</v>
      </c>
      <c r="C41" t="s">
        <v>210</v>
      </c>
      <c r="D41" s="12">
        <v>10.91</v>
      </c>
      <c r="E41">
        <v>30122.51</v>
      </c>
    </row>
    <row r="42" spans="1:24" x14ac:dyDescent="0.2">
      <c r="A42">
        <v>64863</v>
      </c>
      <c r="B42" t="s">
        <v>164</v>
      </c>
      <c r="C42" t="s">
        <v>139</v>
      </c>
      <c r="D42" s="12">
        <v>5</v>
      </c>
      <c r="E42">
        <v>25070</v>
      </c>
    </row>
    <row r="43" spans="1:24" x14ac:dyDescent="0.2">
      <c r="A43">
        <v>67264</v>
      </c>
      <c r="B43" t="s">
        <v>171</v>
      </c>
      <c r="C43" t="s">
        <v>141</v>
      </c>
      <c r="D43" s="12">
        <v>7.87</v>
      </c>
      <c r="E43">
        <v>22964.66</v>
      </c>
    </row>
    <row r="44" spans="1:24" x14ac:dyDescent="0.2">
      <c r="A44">
        <v>86918</v>
      </c>
      <c r="B44" t="s">
        <v>174</v>
      </c>
      <c r="C44" t="s">
        <v>166</v>
      </c>
      <c r="D44" s="12">
        <v>33.340000000000003</v>
      </c>
      <c r="E44">
        <v>21971.06</v>
      </c>
    </row>
    <row r="45" spans="1:24" x14ac:dyDescent="0.2">
      <c r="A45">
        <v>86666</v>
      </c>
      <c r="B45" t="s">
        <v>185</v>
      </c>
      <c r="C45" t="s">
        <v>141</v>
      </c>
      <c r="D45" s="12">
        <v>9.64</v>
      </c>
      <c r="E45">
        <v>16127.72</v>
      </c>
      <c r="M45" s="12"/>
    </row>
    <row r="46" spans="1:24" x14ac:dyDescent="0.2">
      <c r="A46">
        <v>67264</v>
      </c>
      <c r="B46" t="s">
        <v>171</v>
      </c>
      <c r="C46" t="s">
        <v>141</v>
      </c>
      <c r="D46" s="12">
        <v>7.88</v>
      </c>
      <c r="E46">
        <v>14609.52</v>
      </c>
    </row>
    <row r="47" spans="1:24" x14ac:dyDescent="0.2">
      <c r="A47">
        <v>86796</v>
      </c>
      <c r="B47" t="s">
        <v>182</v>
      </c>
      <c r="C47" t="s">
        <v>210</v>
      </c>
      <c r="D47" s="12">
        <v>7.56</v>
      </c>
      <c r="E47">
        <v>12920.04</v>
      </c>
    </row>
    <row r="48" spans="1:24" x14ac:dyDescent="0.2">
      <c r="A48">
        <v>86918</v>
      </c>
      <c r="B48" t="s">
        <v>174</v>
      </c>
      <c r="C48" t="s">
        <v>166</v>
      </c>
      <c r="D48" s="12">
        <v>33.35</v>
      </c>
      <c r="E48">
        <v>12873.1</v>
      </c>
      <c r="M48" s="12"/>
    </row>
    <row r="49" spans="1:13" x14ac:dyDescent="0.2">
      <c r="A49">
        <v>66203</v>
      </c>
      <c r="B49" t="s">
        <v>186</v>
      </c>
      <c r="C49" t="s">
        <v>141</v>
      </c>
      <c r="D49" s="12">
        <v>11.24</v>
      </c>
      <c r="E49">
        <v>12330.28</v>
      </c>
    </row>
    <row r="50" spans="1:13" x14ac:dyDescent="0.2">
      <c r="A50">
        <v>66213</v>
      </c>
      <c r="B50" t="s">
        <v>187</v>
      </c>
      <c r="C50" t="s">
        <v>141</v>
      </c>
      <c r="D50" s="12">
        <v>11.24</v>
      </c>
      <c r="E50">
        <v>10970.24</v>
      </c>
    </row>
    <row r="51" spans="1:13" x14ac:dyDescent="0.2">
      <c r="A51">
        <v>73721</v>
      </c>
      <c r="B51" t="s">
        <v>188</v>
      </c>
      <c r="C51" t="s">
        <v>210</v>
      </c>
      <c r="D51" s="12">
        <v>11.91</v>
      </c>
      <c r="E51">
        <v>10183.049999999999</v>
      </c>
    </row>
    <row r="52" spans="1:13" x14ac:dyDescent="0.2">
      <c r="A52">
        <v>66208</v>
      </c>
      <c r="B52" t="s">
        <v>189</v>
      </c>
      <c r="C52" t="s">
        <v>141</v>
      </c>
      <c r="D52" s="12">
        <v>11.24</v>
      </c>
      <c r="E52">
        <v>9778.7999999999993</v>
      </c>
    </row>
    <row r="53" spans="1:13" x14ac:dyDescent="0.2">
      <c r="A53">
        <v>86666</v>
      </c>
      <c r="B53" t="s">
        <v>185</v>
      </c>
      <c r="C53" t="s">
        <v>141</v>
      </c>
      <c r="D53" s="12">
        <v>9.65</v>
      </c>
      <c r="E53">
        <v>9476.2999999999993</v>
      </c>
      <c r="M53" s="12"/>
    </row>
    <row r="54" spans="1:13" x14ac:dyDescent="0.2">
      <c r="A54">
        <v>86796</v>
      </c>
      <c r="B54" t="s">
        <v>182</v>
      </c>
      <c r="C54" t="s">
        <v>210</v>
      </c>
      <c r="D54" s="12">
        <v>7.56</v>
      </c>
      <c r="E54">
        <v>9200.52</v>
      </c>
    </row>
    <row r="55" spans="1:13" x14ac:dyDescent="0.2">
      <c r="A55">
        <v>86796</v>
      </c>
      <c r="B55" t="s">
        <v>182</v>
      </c>
      <c r="C55" t="s">
        <v>210</v>
      </c>
      <c r="D55" s="12">
        <v>8.06</v>
      </c>
      <c r="E55">
        <v>8882.1200000000008</v>
      </c>
    </row>
    <row r="56" spans="1:13" x14ac:dyDescent="0.2">
      <c r="A56">
        <v>77472</v>
      </c>
      <c r="B56" t="s">
        <v>175</v>
      </c>
      <c r="C56" t="s">
        <v>190</v>
      </c>
      <c r="D56" s="12">
        <v>16.47</v>
      </c>
      <c r="E56">
        <v>8762.0400000000009</v>
      </c>
    </row>
    <row r="57" spans="1:13" x14ac:dyDescent="0.2">
      <c r="A57">
        <v>828</v>
      </c>
      <c r="B57" t="s">
        <v>184</v>
      </c>
      <c r="C57" t="s">
        <v>210</v>
      </c>
      <c r="D57" s="12">
        <v>7.65</v>
      </c>
      <c r="E57">
        <v>8613.9</v>
      </c>
    </row>
    <row r="58" spans="1:13" x14ac:dyDescent="0.2">
      <c r="A58">
        <v>27454</v>
      </c>
      <c r="B58" t="s">
        <v>180</v>
      </c>
      <c r="C58" t="s">
        <v>210</v>
      </c>
      <c r="D58" s="12">
        <v>11.93</v>
      </c>
      <c r="E58">
        <v>8494.16</v>
      </c>
    </row>
    <row r="59" spans="1:13" x14ac:dyDescent="0.2">
      <c r="A59">
        <v>86746</v>
      </c>
      <c r="B59" t="s">
        <v>191</v>
      </c>
      <c r="C59" t="s">
        <v>192</v>
      </c>
      <c r="D59" s="12">
        <v>19.489999999999998</v>
      </c>
      <c r="E59">
        <v>7523.14</v>
      </c>
    </row>
    <row r="60" spans="1:13" x14ac:dyDescent="0.2">
      <c r="A60">
        <v>64862</v>
      </c>
      <c r="B60" t="s">
        <v>164</v>
      </c>
      <c r="C60" t="s">
        <v>139</v>
      </c>
      <c r="D60" s="12">
        <v>7.99</v>
      </c>
      <c r="E60">
        <v>7095.12</v>
      </c>
    </row>
    <row r="61" spans="1:13" x14ac:dyDescent="0.2">
      <c r="A61">
        <v>27453</v>
      </c>
      <c r="B61" t="s">
        <v>184</v>
      </c>
      <c r="C61" t="s">
        <v>210</v>
      </c>
      <c r="D61" s="12">
        <v>6.38</v>
      </c>
      <c r="E61">
        <v>6801.08</v>
      </c>
    </row>
    <row r="62" spans="1:13" x14ac:dyDescent="0.2">
      <c r="A62">
        <v>73702</v>
      </c>
      <c r="B62" t="s">
        <v>181</v>
      </c>
      <c r="C62" t="s">
        <v>210</v>
      </c>
      <c r="D62" s="12">
        <v>11.91</v>
      </c>
      <c r="E62">
        <v>6538.59</v>
      </c>
    </row>
    <row r="63" spans="1:13" x14ac:dyDescent="0.2">
      <c r="A63">
        <v>903458</v>
      </c>
      <c r="B63" t="s">
        <v>193</v>
      </c>
      <c r="C63" t="s">
        <v>144</v>
      </c>
      <c r="D63" s="12">
        <v>17.5</v>
      </c>
      <c r="E63">
        <v>5460</v>
      </c>
    </row>
    <row r="64" spans="1:13" x14ac:dyDescent="0.2">
      <c r="A64">
        <v>73721</v>
      </c>
      <c r="B64" t="s">
        <v>188</v>
      </c>
      <c r="C64" t="s">
        <v>210</v>
      </c>
      <c r="D64" s="12">
        <v>10.91</v>
      </c>
      <c r="E64">
        <v>5160.43</v>
      </c>
    </row>
    <row r="65" spans="1:13" x14ac:dyDescent="0.2">
      <c r="A65">
        <v>86806</v>
      </c>
      <c r="B65" t="s">
        <v>173</v>
      </c>
      <c r="C65" t="s">
        <v>166</v>
      </c>
      <c r="D65" s="12">
        <v>6.81</v>
      </c>
      <c r="E65">
        <v>4841.91</v>
      </c>
    </row>
    <row r="66" spans="1:13" x14ac:dyDescent="0.2">
      <c r="A66">
        <v>77479</v>
      </c>
      <c r="B66" t="s">
        <v>175</v>
      </c>
      <c r="C66" t="s">
        <v>176</v>
      </c>
      <c r="D66" s="12">
        <v>4.13</v>
      </c>
      <c r="E66">
        <v>4068.05</v>
      </c>
      <c r="M66" s="12"/>
    </row>
    <row r="67" spans="1:13" x14ac:dyDescent="0.2">
      <c r="A67">
        <v>86746</v>
      </c>
      <c r="B67" t="s">
        <v>191</v>
      </c>
      <c r="C67" t="s">
        <v>143</v>
      </c>
      <c r="D67" s="12">
        <v>19.5</v>
      </c>
      <c r="E67">
        <v>4017</v>
      </c>
    </row>
    <row r="68" spans="1:13" x14ac:dyDescent="0.2">
      <c r="A68">
        <v>27453</v>
      </c>
      <c r="B68" t="s">
        <v>184</v>
      </c>
      <c r="C68" t="s">
        <v>210</v>
      </c>
      <c r="D68" s="12">
        <v>7.65</v>
      </c>
      <c r="E68">
        <v>3733.2</v>
      </c>
    </row>
    <row r="69" spans="1:13" x14ac:dyDescent="0.2">
      <c r="A69">
        <v>66211</v>
      </c>
      <c r="B69" t="s">
        <v>194</v>
      </c>
      <c r="C69" t="s">
        <v>141</v>
      </c>
      <c r="D69" s="12">
        <v>7.35</v>
      </c>
      <c r="E69">
        <v>3667.65</v>
      </c>
    </row>
    <row r="70" spans="1:13" x14ac:dyDescent="0.2">
      <c r="A70">
        <v>66199</v>
      </c>
      <c r="B70" t="s">
        <v>195</v>
      </c>
      <c r="C70" t="s">
        <v>141</v>
      </c>
      <c r="D70" s="12">
        <v>7.35</v>
      </c>
      <c r="E70">
        <v>3381</v>
      </c>
    </row>
    <row r="71" spans="1:13" x14ac:dyDescent="0.2">
      <c r="A71">
        <v>66206</v>
      </c>
      <c r="B71" t="s">
        <v>196</v>
      </c>
      <c r="C71" t="s">
        <v>141</v>
      </c>
      <c r="D71" s="12">
        <v>7.35</v>
      </c>
      <c r="E71">
        <v>3278.1</v>
      </c>
    </row>
    <row r="72" spans="1:13" x14ac:dyDescent="0.2">
      <c r="A72">
        <v>77727</v>
      </c>
      <c r="B72" t="s">
        <v>197</v>
      </c>
      <c r="C72" t="s">
        <v>145</v>
      </c>
      <c r="D72" s="12">
        <v>21.89</v>
      </c>
      <c r="E72">
        <v>2276.56</v>
      </c>
    </row>
    <row r="73" spans="1:13" x14ac:dyDescent="0.2">
      <c r="A73">
        <v>75740</v>
      </c>
      <c r="B73" t="s">
        <v>198</v>
      </c>
      <c r="C73" t="s">
        <v>145</v>
      </c>
      <c r="D73" s="12">
        <v>19.940000000000001</v>
      </c>
      <c r="E73">
        <v>1694.9</v>
      </c>
    </row>
    <row r="74" spans="1:13" x14ac:dyDescent="0.2">
      <c r="A74">
        <v>73721</v>
      </c>
      <c r="B74" t="s">
        <v>188</v>
      </c>
      <c r="C74" t="s">
        <v>210</v>
      </c>
      <c r="D74" s="12">
        <v>11.91</v>
      </c>
      <c r="E74">
        <v>1488.75</v>
      </c>
    </row>
    <row r="75" spans="1:13" x14ac:dyDescent="0.2">
      <c r="A75">
        <v>903835</v>
      </c>
      <c r="B75" t="s">
        <v>199</v>
      </c>
      <c r="C75" t="s">
        <v>139</v>
      </c>
      <c r="D75" s="12">
        <v>10.17</v>
      </c>
      <c r="E75">
        <v>1220.4000000000001</v>
      </c>
    </row>
    <row r="76" spans="1:13" x14ac:dyDescent="0.2">
      <c r="A76">
        <v>86746</v>
      </c>
      <c r="B76" t="s">
        <v>191</v>
      </c>
      <c r="C76" t="s">
        <v>192</v>
      </c>
      <c r="D76" s="12">
        <v>19.5</v>
      </c>
      <c r="E76">
        <v>1228.5</v>
      </c>
    </row>
    <row r="77" spans="1:13" x14ac:dyDescent="0.2">
      <c r="A77">
        <v>964856</v>
      </c>
      <c r="B77" t="s">
        <v>203</v>
      </c>
      <c r="C77" t="s">
        <v>139</v>
      </c>
      <c r="D77" s="12">
        <v>5</v>
      </c>
      <c r="E77">
        <v>240</v>
      </c>
    </row>
    <row r="78" spans="1:13" x14ac:dyDescent="0.2">
      <c r="A78">
        <v>75740</v>
      </c>
      <c r="B78" t="s">
        <v>198</v>
      </c>
      <c r="C78" t="s">
        <v>145</v>
      </c>
      <c r="D78" s="12">
        <v>21.89</v>
      </c>
      <c r="E78">
        <v>1160.17</v>
      </c>
    </row>
    <row r="79" spans="1:13" x14ac:dyDescent="0.2">
      <c r="A79">
        <v>86802</v>
      </c>
      <c r="B79" t="s">
        <v>200</v>
      </c>
      <c r="C79" t="s">
        <v>166</v>
      </c>
      <c r="D79" s="12">
        <v>14.78</v>
      </c>
      <c r="E79">
        <v>975.48</v>
      </c>
    </row>
    <row r="80" spans="1:13" x14ac:dyDescent="0.2">
      <c r="A80">
        <v>903690</v>
      </c>
      <c r="B80" t="s">
        <v>201</v>
      </c>
      <c r="C80" t="s">
        <v>166</v>
      </c>
      <c r="D80" s="12">
        <v>12.06</v>
      </c>
      <c r="E80">
        <v>868.32</v>
      </c>
    </row>
    <row r="81" spans="1:5" x14ac:dyDescent="0.2">
      <c r="A81">
        <v>903835</v>
      </c>
      <c r="B81" t="s">
        <v>199</v>
      </c>
      <c r="C81" t="s">
        <v>139</v>
      </c>
      <c r="D81" s="12">
        <v>10.17</v>
      </c>
      <c r="E81">
        <v>1464.48</v>
      </c>
    </row>
    <row r="82" spans="1:5" x14ac:dyDescent="0.2">
      <c r="A82">
        <v>77479</v>
      </c>
      <c r="B82" t="s">
        <v>175</v>
      </c>
      <c r="C82" t="s">
        <v>190</v>
      </c>
      <c r="D82" s="12">
        <v>4.13</v>
      </c>
      <c r="E82">
        <v>834.26</v>
      </c>
    </row>
    <row r="83" spans="1:5" x14ac:dyDescent="0.2">
      <c r="A83">
        <v>901222</v>
      </c>
      <c r="B83" t="s">
        <v>202</v>
      </c>
      <c r="C83" t="s">
        <v>146</v>
      </c>
      <c r="D83" s="12">
        <v>25.83</v>
      </c>
      <c r="E83">
        <v>619.91999999999996</v>
      </c>
    </row>
    <row r="84" spans="1:5" x14ac:dyDescent="0.2">
      <c r="A84">
        <v>901223</v>
      </c>
      <c r="B84" t="s">
        <v>202</v>
      </c>
      <c r="C84" t="s">
        <v>146</v>
      </c>
      <c r="D84" s="12">
        <v>17.46</v>
      </c>
      <c r="E84">
        <v>523.79999999999995</v>
      </c>
    </row>
    <row r="85" spans="1:5" x14ac:dyDescent="0.2">
      <c r="A85">
        <v>901224</v>
      </c>
      <c r="B85" t="s">
        <v>202</v>
      </c>
      <c r="C85" t="s">
        <v>146</v>
      </c>
      <c r="D85" s="12">
        <v>11.75</v>
      </c>
      <c r="E85">
        <v>352.5</v>
      </c>
    </row>
    <row r="86" spans="1:5" x14ac:dyDescent="0.2">
      <c r="A86">
        <v>901222</v>
      </c>
      <c r="B86" t="s">
        <v>202</v>
      </c>
      <c r="C86" t="s">
        <v>146</v>
      </c>
      <c r="D86" s="12">
        <v>24.86</v>
      </c>
      <c r="E86">
        <v>298.32</v>
      </c>
    </row>
    <row r="87" spans="1:5" x14ac:dyDescent="0.2">
      <c r="A87">
        <v>901221</v>
      </c>
      <c r="B87" t="s">
        <v>202</v>
      </c>
      <c r="C87" t="s">
        <v>146</v>
      </c>
      <c r="D87" s="12">
        <v>47.37</v>
      </c>
      <c r="E87">
        <v>852.66</v>
      </c>
    </row>
    <row r="88" spans="1:5" x14ac:dyDescent="0.2">
      <c r="A88">
        <v>901223</v>
      </c>
      <c r="B88" t="s">
        <v>202</v>
      </c>
      <c r="C88" t="s">
        <v>146</v>
      </c>
      <c r="D88" s="12">
        <v>16.79</v>
      </c>
      <c r="E88">
        <v>201.48</v>
      </c>
    </row>
    <row r="89" spans="1:5" x14ac:dyDescent="0.2">
      <c r="A89">
        <v>901225</v>
      </c>
      <c r="B89" t="s">
        <v>202</v>
      </c>
      <c r="C89" t="s">
        <v>146</v>
      </c>
      <c r="D89" s="12">
        <v>7.88</v>
      </c>
      <c r="E89">
        <v>141.84</v>
      </c>
    </row>
    <row r="90" spans="1:5" x14ac:dyDescent="0.2">
      <c r="A90">
        <v>901224</v>
      </c>
      <c r="B90" t="s">
        <v>202</v>
      </c>
      <c r="C90" t="s">
        <v>146</v>
      </c>
      <c r="D90" s="12">
        <v>11.75</v>
      </c>
      <c r="E90">
        <v>141</v>
      </c>
    </row>
    <row r="91" spans="1:5" x14ac:dyDescent="0.2">
      <c r="A91">
        <v>901220</v>
      </c>
      <c r="B91" t="s">
        <v>202</v>
      </c>
      <c r="C91" t="s">
        <v>146</v>
      </c>
      <c r="D91" s="12">
        <v>56.09</v>
      </c>
      <c r="E91">
        <v>112.18</v>
      </c>
    </row>
    <row r="92" spans="1:5" x14ac:dyDescent="0.2">
      <c r="A92">
        <v>901220</v>
      </c>
      <c r="B92" t="s">
        <v>202</v>
      </c>
      <c r="C92" t="s">
        <v>146</v>
      </c>
      <c r="D92" s="12">
        <v>55.49</v>
      </c>
      <c r="E92">
        <v>110.98</v>
      </c>
    </row>
    <row r="93" spans="1:5" x14ac:dyDescent="0.2">
      <c r="A93">
        <v>901223</v>
      </c>
      <c r="B93" t="s">
        <v>202</v>
      </c>
      <c r="C93" t="s">
        <v>146</v>
      </c>
      <c r="D93" s="12">
        <v>17.46</v>
      </c>
      <c r="E93">
        <v>104.76</v>
      </c>
    </row>
    <row r="94" spans="1:5" x14ac:dyDescent="0.2">
      <c r="A94">
        <v>901225</v>
      </c>
      <c r="B94" t="s">
        <v>202</v>
      </c>
      <c r="C94" t="s">
        <v>146</v>
      </c>
      <c r="D94" s="12">
        <v>7.43</v>
      </c>
      <c r="E94">
        <v>89.16</v>
      </c>
    </row>
    <row r="95" spans="1:5" x14ac:dyDescent="0.2">
      <c r="A95">
        <v>27588</v>
      </c>
      <c r="B95" t="s">
        <v>204</v>
      </c>
      <c r="C95" t="s">
        <v>142</v>
      </c>
      <c r="D95" s="12">
        <v>7.34</v>
      </c>
      <c r="E95">
        <v>88.08</v>
      </c>
    </row>
    <row r="96" spans="1:5" x14ac:dyDescent="0.2">
      <c r="A96">
        <v>901220</v>
      </c>
      <c r="B96" t="s">
        <v>202</v>
      </c>
      <c r="C96" t="s">
        <v>146</v>
      </c>
      <c r="D96" s="12">
        <v>56.09</v>
      </c>
      <c r="E96">
        <v>56.09</v>
      </c>
    </row>
    <row r="97" spans="1:5" x14ac:dyDescent="0.2">
      <c r="A97">
        <v>901225</v>
      </c>
      <c r="B97" t="s">
        <v>202</v>
      </c>
      <c r="C97" t="s">
        <v>146</v>
      </c>
      <c r="D97" s="12">
        <v>7.88</v>
      </c>
      <c r="E97">
        <v>47.28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1F25-0555-1246-88F4-E4122D3AF21E}">
  <dimension ref="B1:I24"/>
  <sheetViews>
    <sheetView topLeftCell="J1" zoomScale="115" zoomScaleNormal="115" workbookViewId="0">
      <selection activeCell="I31" sqref="I31"/>
    </sheetView>
  </sheetViews>
  <sheetFormatPr baseColWidth="10" defaultRowHeight="16" x14ac:dyDescent="0.2"/>
  <cols>
    <col min="4" max="4" width="11.5" bestFit="1" customWidth="1"/>
    <col min="7" max="7" width="13" bestFit="1" customWidth="1"/>
    <col min="8" max="8" width="17.83203125" bestFit="1" customWidth="1"/>
    <col min="9" max="10" width="18.1640625" bestFit="1" customWidth="1"/>
    <col min="11" max="11" width="7.1640625" bestFit="1" customWidth="1"/>
    <col min="12" max="12" width="22.33203125" bestFit="1" customWidth="1"/>
    <col min="13" max="13" width="22.6640625" bestFit="1" customWidth="1"/>
  </cols>
  <sheetData>
    <row r="1" spans="2:9" x14ac:dyDescent="0.2">
      <c r="B1" s="1" t="s">
        <v>112</v>
      </c>
      <c r="C1" s="1" t="s">
        <v>110</v>
      </c>
      <c r="D1" s="3" t="s">
        <v>111</v>
      </c>
      <c r="E1" s="1" t="s">
        <v>6</v>
      </c>
      <c r="F1" s="1"/>
    </row>
    <row r="2" spans="2:9" x14ac:dyDescent="0.2">
      <c r="B2">
        <v>4765</v>
      </c>
      <c r="C2">
        <v>24421.95</v>
      </c>
      <c r="D2">
        <v>22.32</v>
      </c>
      <c r="E2">
        <v>129.80000000000001</v>
      </c>
      <c r="G2">
        <v>129.80000000000001</v>
      </c>
    </row>
    <row r="3" spans="2:9" x14ac:dyDescent="0.2">
      <c r="B3">
        <v>4834</v>
      </c>
      <c r="C3">
        <v>9825.56</v>
      </c>
      <c r="D3">
        <v>44.58</v>
      </c>
      <c r="G3" s="5" t="s">
        <v>113</v>
      </c>
      <c r="H3" t="s">
        <v>115</v>
      </c>
      <c r="I3" t="s">
        <v>116</v>
      </c>
    </row>
    <row r="4" spans="2:9" x14ac:dyDescent="0.2">
      <c r="B4">
        <v>5086</v>
      </c>
      <c r="C4">
        <v>4528.68</v>
      </c>
      <c r="D4">
        <v>44.58</v>
      </c>
      <c r="G4" s="6">
        <v>4095</v>
      </c>
      <c r="H4" s="4">
        <v>12741.48</v>
      </c>
      <c r="I4" s="4">
        <v>187.76</v>
      </c>
    </row>
    <row r="5" spans="2:9" x14ac:dyDescent="0.2">
      <c r="B5">
        <v>4503</v>
      </c>
      <c r="C5">
        <v>24571.08</v>
      </c>
      <c r="D5">
        <v>44.58</v>
      </c>
      <c r="G5" s="6">
        <v>4503</v>
      </c>
      <c r="H5" s="4">
        <v>24571.08</v>
      </c>
      <c r="I5" s="4">
        <v>44.58</v>
      </c>
    </row>
    <row r="6" spans="2:9" x14ac:dyDescent="0.2">
      <c r="B6">
        <v>5016</v>
      </c>
      <c r="C6">
        <v>3740.73</v>
      </c>
      <c r="D6">
        <v>60</v>
      </c>
      <c r="G6" s="6">
        <v>4529</v>
      </c>
      <c r="H6" s="4">
        <v>15276.58</v>
      </c>
      <c r="I6" s="4">
        <v>161.63999999999999</v>
      </c>
    </row>
    <row r="7" spans="2:9" x14ac:dyDescent="0.2">
      <c r="B7">
        <v>4994</v>
      </c>
      <c r="C7">
        <v>27700.1</v>
      </c>
      <c r="D7">
        <v>64</v>
      </c>
      <c r="G7" s="6">
        <v>4657</v>
      </c>
      <c r="H7" s="4">
        <v>26733.439999999999</v>
      </c>
      <c r="I7" s="4">
        <v>156.12</v>
      </c>
    </row>
    <row r="8" spans="2:9" x14ac:dyDescent="0.2">
      <c r="B8">
        <v>4716</v>
      </c>
      <c r="C8">
        <v>16240.92</v>
      </c>
      <c r="D8">
        <v>80.16</v>
      </c>
      <c r="G8" s="6">
        <v>4716</v>
      </c>
      <c r="H8" s="4">
        <v>16240.92</v>
      </c>
      <c r="I8" s="4">
        <v>80.16</v>
      </c>
    </row>
    <row r="9" spans="2:9" x14ac:dyDescent="0.2">
      <c r="B9">
        <v>5056</v>
      </c>
      <c r="C9">
        <v>1233.3399999999999</v>
      </c>
      <c r="D9">
        <v>89.16</v>
      </c>
      <c r="G9" s="6">
        <v>4765</v>
      </c>
      <c r="H9" s="4">
        <v>24421.95</v>
      </c>
      <c r="I9" s="4">
        <v>22.32</v>
      </c>
    </row>
    <row r="10" spans="2:9" x14ac:dyDescent="0.2">
      <c r="B10">
        <v>4961</v>
      </c>
      <c r="C10">
        <v>13712.15</v>
      </c>
      <c r="D10">
        <v>96</v>
      </c>
      <c r="G10" s="6">
        <v>4834</v>
      </c>
      <c r="H10" s="4">
        <v>9825.56</v>
      </c>
      <c r="I10" s="4">
        <v>44.58</v>
      </c>
    </row>
    <row r="11" spans="2:9" x14ac:dyDescent="0.2">
      <c r="B11">
        <v>5082</v>
      </c>
      <c r="C11">
        <v>3556.53</v>
      </c>
      <c r="D11">
        <v>104.82</v>
      </c>
      <c r="G11" s="6">
        <v>4871</v>
      </c>
      <c r="H11" s="4">
        <v>1098.45</v>
      </c>
      <c r="I11" s="4">
        <v>164.52</v>
      </c>
    </row>
    <row r="12" spans="2:9" x14ac:dyDescent="0.2">
      <c r="B12">
        <v>5078</v>
      </c>
      <c r="C12">
        <v>3556.53</v>
      </c>
      <c r="D12">
        <v>104.82</v>
      </c>
      <c r="G12" s="6">
        <v>4961</v>
      </c>
      <c r="H12" s="4">
        <v>13712.15</v>
      </c>
      <c r="I12" s="4">
        <v>96</v>
      </c>
    </row>
    <row r="13" spans="2:9" x14ac:dyDescent="0.2">
      <c r="B13">
        <v>5081</v>
      </c>
      <c r="C13">
        <v>3556.53</v>
      </c>
      <c r="D13">
        <v>104.82</v>
      </c>
      <c r="G13" s="6">
        <v>4994</v>
      </c>
      <c r="H13" s="4">
        <v>27700.1</v>
      </c>
      <c r="I13" s="4">
        <v>64</v>
      </c>
    </row>
    <row r="14" spans="2:9" x14ac:dyDescent="0.2">
      <c r="B14">
        <v>5094</v>
      </c>
      <c r="C14">
        <v>4794.6400000000003</v>
      </c>
      <c r="D14">
        <v>104.82</v>
      </c>
      <c r="G14" s="6">
        <v>5006</v>
      </c>
      <c r="H14" s="4">
        <v>5997.65</v>
      </c>
      <c r="I14" s="4">
        <v>166.88</v>
      </c>
    </row>
    <row r="15" spans="2:9" x14ac:dyDescent="0.2">
      <c r="B15">
        <v>5069</v>
      </c>
      <c r="C15">
        <v>4858.8900000000003</v>
      </c>
      <c r="D15">
        <v>104.82</v>
      </c>
      <c r="G15" s="6">
        <v>5016</v>
      </c>
      <c r="H15" s="4">
        <v>3740.73</v>
      </c>
      <c r="I15" s="4">
        <v>60</v>
      </c>
    </row>
    <row r="16" spans="2:9" x14ac:dyDescent="0.2">
      <c r="B16">
        <v>5079</v>
      </c>
      <c r="C16">
        <v>3556.53</v>
      </c>
      <c r="D16">
        <v>104.82</v>
      </c>
      <c r="G16" s="6">
        <v>5056</v>
      </c>
      <c r="H16" s="4">
        <v>1233.3399999999999</v>
      </c>
      <c r="I16" s="4">
        <v>89.16</v>
      </c>
    </row>
    <row r="17" spans="2:9" x14ac:dyDescent="0.2">
      <c r="B17">
        <v>4657</v>
      </c>
      <c r="C17">
        <v>26733.439999999999</v>
      </c>
      <c r="D17">
        <v>156.12</v>
      </c>
      <c r="G17" s="6">
        <v>5069</v>
      </c>
      <c r="H17" s="4">
        <v>4858.8900000000003</v>
      </c>
      <c r="I17" s="4">
        <v>104.82</v>
      </c>
    </row>
    <row r="18" spans="2:9" x14ac:dyDescent="0.2">
      <c r="B18">
        <v>4529</v>
      </c>
      <c r="C18">
        <v>15276.58</v>
      </c>
      <c r="D18">
        <v>161.63999999999999</v>
      </c>
      <c r="G18" s="6">
        <v>5078</v>
      </c>
      <c r="H18" s="4">
        <v>3556.53</v>
      </c>
      <c r="I18" s="4">
        <v>104.82</v>
      </c>
    </row>
    <row r="19" spans="2:9" x14ac:dyDescent="0.2">
      <c r="B19">
        <v>4871</v>
      </c>
      <c r="C19">
        <v>1098.45</v>
      </c>
      <c r="D19">
        <v>164.52</v>
      </c>
      <c r="G19" s="6">
        <v>5079</v>
      </c>
      <c r="H19" s="4">
        <v>3556.53</v>
      </c>
      <c r="I19" s="4">
        <v>104.82</v>
      </c>
    </row>
    <row r="20" spans="2:9" x14ac:dyDescent="0.2">
      <c r="B20">
        <v>5006</v>
      </c>
      <c r="C20">
        <v>5997.65</v>
      </c>
      <c r="D20">
        <v>166.88</v>
      </c>
      <c r="G20" s="6">
        <v>5081</v>
      </c>
      <c r="H20" s="4">
        <v>3556.53</v>
      </c>
      <c r="I20" s="4">
        <v>104.82</v>
      </c>
    </row>
    <row r="21" spans="2:9" x14ac:dyDescent="0.2">
      <c r="B21">
        <v>4095</v>
      </c>
      <c r="C21">
        <v>12741.48</v>
      </c>
      <c r="D21">
        <v>187.76</v>
      </c>
      <c r="G21" s="6">
        <v>5082</v>
      </c>
      <c r="H21" s="4">
        <v>3556.53</v>
      </c>
      <c r="I21" s="4">
        <v>104.82</v>
      </c>
    </row>
    <row r="22" spans="2:9" x14ac:dyDescent="0.2">
      <c r="G22" s="6">
        <v>5086</v>
      </c>
      <c r="H22" s="4">
        <v>4528.68</v>
      </c>
      <c r="I22" s="4">
        <v>44.58</v>
      </c>
    </row>
    <row r="23" spans="2:9" x14ac:dyDescent="0.2">
      <c r="G23" s="6">
        <v>5094</v>
      </c>
      <c r="H23" s="4">
        <v>4794.6400000000003</v>
      </c>
      <c r="I23" s="4">
        <v>104.82</v>
      </c>
    </row>
    <row r="24" spans="2:9" x14ac:dyDescent="0.2">
      <c r="G24" s="6" t="s">
        <v>114</v>
      </c>
      <c r="H24" s="4">
        <v>211701.76000000001</v>
      </c>
      <c r="I24" s="4">
        <v>2011.2199999999996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5F90-2DA2-B443-9BAE-75623A9E15D3}">
  <dimension ref="A1:G100"/>
  <sheetViews>
    <sheetView zoomScale="174" workbookViewId="0">
      <selection activeCell="F22" sqref="F22"/>
    </sheetView>
  </sheetViews>
  <sheetFormatPr baseColWidth="10" defaultRowHeight="16" x14ac:dyDescent="0.2"/>
  <cols>
    <col min="7" max="7" width="12.5" bestFit="1" customWidth="1"/>
  </cols>
  <sheetData>
    <row r="1" spans="1:3" x14ac:dyDescent="0.2">
      <c r="A1" t="s">
        <v>7</v>
      </c>
      <c r="B1" t="s">
        <v>4</v>
      </c>
      <c r="C1" t="s">
        <v>8</v>
      </c>
    </row>
    <row r="2" spans="1:3" x14ac:dyDescent="0.2">
      <c r="A2" t="s">
        <v>9</v>
      </c>
      <c r="B2">
        <v>749.04</v>
      </c>
      <c r="C2">
        <v>7441</v>
      </c>
    </row>
    <row r="3" spans="1:3" x14ac:dyDescent="0.2">
      <c r="A3" t="s">
        <v>13</v>
      </c>
      <c r="B3">
        <v>11070.47</v>
      </c>
      <c r="C3">
        <v>4029</v>
      </c>
    </row>
    <row r="4" spans="1:3" x14ac:dyDescent="0.2">
      <c r="A4" t="s">
        <v>14</v>
      </c>
      <c r="B4">
        <v>12582.21</v>
      </c>
      <c r="C4">
        <v>8753</v>
      </c>
    </row>
    <row r="5" spans="1:3" x14ac:dyDescent="0.2">
      <c r="A5" t="s">
        <v>10</v>
      </c>
      <c r="B5">
        <v>13148.98</v>
      </c>
      <c r="C5">
        <v>6403</v>
      </c>
    </row>
    <row r="6" spans="1:3" x14ac:dyDescent="0.2">
      <c r="A6" t="s">
        <v>11</v>
      </c>
      <c r="B6">
        <v>19845.400000000001</v>
      </c>
      <c r="C6">
        <v>6317</v>
      </c>
    </row>
    <row r="7" spans="1:3" x14ac:dyDescent="0.2">
      <c r="A7" t="s">
        <v>12</v>
      </c>
      <c r="B7">
        <v>19848.34</v>
      </c>
      <c r="C7">
        <v>11387</v>
      </c>
    </row>
    <row r="8" spans="1:3" x14ac:dyDescent="0.2">
      <c r="A8" t="s">
        <v>15</v>
      </c>
      <c r="B8">
        <v>20458.849999999999</v>
      </c>
      <c r="C8">
        <v>10511</v>
      </c>
    </row>
    <row r="9" spans="1:3" x14ac:dyDescent="0.2">
      <c r="A9" t="s">
        <v>16</v>
      </c>
      <c r="B9">
        <v>23619.63</v>
      </c>
      <c r="C9">
        <v>5131</v>
      </c>
    </row>
    <row r="10" spans="1:3" x14ac:dyDescent="0.2">
      <c r="A10" t="s">
        <v>17</v>
      </c>
      <c r="B10">
        <v>23818.9</v>
      </c>
      <c r="C10">
        <v>7570</v>
      </c>
    </row>
    <row r="11" spans="1:3" x14ac:dyDescent="0.2">
      <c r="A11" t="s">
        <v>18</v>
      </c>
      <c r="B11">
        <v>25028.39</v>
      </c>
      <c r="C11">
        <v>6119</v>
      </c>
    </row>
    <row r="12" spans="1:3" x14ac:dyDescent="0.2">
      <c r="A12" t="s">
        <v>19</v>
      </c>
      <c r="B12">
        <v>30648.560000000001</v>
      </c>
      <c r="C12">
        <v>8457</v>
      </c>
    </row>
    <row r="13" spans="1:3" x14ac:dyDescent="0.2">
      <c r="A13" t="s">
        <v>20</v>
      </c>
      <c r="B13">
        <v>31964.46</v>
      </c>
      <c r="C13">
        <v>7598</v>
      </c>
    </row>
    <row r="14" spans="1:3" x14ac:dyDescent="0.2">
      <c r="A14" t="s">
        <v>21</v>
      </c>
      <c r="B14">
        <v>41111.71</v>
      </c>
      <c r="C14">
        <v>6462</v>
      </c>
    </row>
    <row r="15" spans="1:3" x14ac:dyDescent="0.2">
      <c r="A15" t="s">
        <v>22</v>
      </c>
      <c r="B15">
        <v>43404.59</v>
      </c>
      <c r="C15">
        <v>14867</v>
      </c>
    </row>
    <row r="16" spans="1:3" x14ac:dyDescent="0.2">
      <c r="A16" t="s">
        <v>23</v>
      </c>
      <c r="B16">
        <v>45521.75</v>
      </c>
      <c r="C16">
        <v>10954</v>
      </c>
    </row>
    <row r="17" spans="1:3" x14ac:dyDescent="0.2">
      <c r="A17" t="s">
        <v>24</v>
      </c>
      <c r="B17">
        <v>48311.73</v>
      </c>
      <c r="C17">
        <v>7970</v>
      </c>
    </row>
    <row r="18" spans="1:3" x14ac:dyDescent="0.2">
      <c r="A18" t="s">
        <v>25</v>
      </c>
      <c r="B18">
        <v>52046.81</v>
      </c>
      <c r="C18">
        <v>12453</v>
      </c>
    </row>
    <row r="19" spans="1:3" x14ac:dyDescent="0.2">
      <c r="A19" t="s">
        <v>26</v>
      </c>
      <c r="B19">
        <v>53253.17</v>
      </c>
      <c r="C19">
        <v>8898</v>
      </c>
    </row>
    <row r="20" spans="1:3" x14ac:dyDescent="0.2">
      <c r="A20" t="s">
        <v>27</v>
      </c>
      <c r="B20">
        <v>53344.66</v>
      </c>
      <c r="C20">
        <v>7089</v>
      </c>
    </row>
    <row r="21" spans="1:3" x14ac:dyDescent="0.2">
      <c r="A21" t="s">
        <v>28</v>
      </c>
      <c r="B21">
        <v>54017.47</v>
      </c>
      <c r="C21">
        <v>12439</v>
      </c>
    </row>
    <row r="22" spans="1:3" x14ac:dyDescent="0.2">
      <c r="A22" t="s">
        <v>29</v>
      </c>
      <c r="B22">
        <v>55929.81</v>
      </c>
      <c r="C22">
        <v>9336</v>
      </c>
    </row>
    <row r="23" spans="1:3" x14ac:dyDescent="0.2">
      <c r="A23" t="s">
        <v>30</v>
      </c>
      <c r="B23">
        <v>58726.13</v>
      </c>
      <c r="C23">
        <v>7310</v>
      </c>
    </row>
    <row r="24" spans="1:3" x14ac:dyDescent="0.2">
      <c r="A24" t="s">
        <v>31</v>
      </c>
      <c r="B24">
        <v>59263.16</v>
      </c>
      <c r="C24">
        <v>9670</v>
      </c>
    </row>
    <row r="25" spans="1:3" x14ac:dyDescent="0.2">
      <c r="A25" t="s">
        <v>32</v>
      </c>
      <c r="B25">
        <v>62839.12</v>
      </c>
      <c r="C25">
        <v>18499</v>
      </c>
    </row>
    <row r="26" spans="1:3" x14ac:dyDescent="0.2">
      <c r="A26" t="s">
        <v>33</v>
      </c>
      <c r="B26">
        <v>66164.05</v>
      </c>
      <c r="C26">
        <v>11341</v>
      </c>
    </row>
    <row r="27" spans="1:3" x14ac:dyDescent="0.2">
      <c r="A27" t="s">
        <v>34</v>
      </c>
      <c r="B27">
        <v>66721.94</v>
      </c>
      <c r="C27">
        <v>14928</v>
      </c>
    </row>
    <row r="28" spans="1:3" x14ac:dyDescent="0.2">
      <c r="A28" t="s">
        <v>35</v>
      </c>
      <c r="B28">
        <v>67702.41</v>
      </c>
      <c r="C28">
        <v>10740</v>
      </c>
    </row>
    <row r="29" spans="1:3" x14ac:dyDescent="0.2">
      <c r="A29" t="s">
        <v>36</v>
      </c>
      <c r="B29">
        <v>76362.52</v>
      </c>
      <c r="C29">
        <v>7682</v>
      </c>
    </row>
    <row r="30" spans="1:3" x14ac:dyDescent="0.2">
      <c r="A30" t="s">
        <v>37</v>
      </c>
      <c r="B30">
        <v>77259.94</v>
      </c>
      <c r="C30">
        <v>9286</v>
      </c>
    </row>
    <row r="31" spans="1:3" x14ac:dyDescent="0.2">
      <c r="A31" t="s">
        <v>38</v>
      </c>
      <c r="B31">
        <v>77502.25</v>
      </c>
      <c r="C31">
        <v>13229</v>
      </c>
    </row>
    <row r="32" spans="1:3" x14ac:dyDescent="0.2">
      <c r="A32" t="s">
        <v>39</v>
      </c>
      <c r="B32">
        <v>78007.34</v>
      </c>
      <c r="C32">
        <v>10776</v>
      </c>
    </row>
    <row r="33" spans="1:3" x14ac:dyDescent="0.2">
      <c r="A33" t="s">
        <v>40</v>
      </c>
      <c r="B33">
        <v>78530.710000000006</v>
      </c>
      <c r="C33">
        <v>15059</v>
      </c>
    </row>
    <row r="34" spans="1:3" x14ac:dyDescent="0.2">
      <c r="A34" t="s">
        <v>41</v>
      </c>
      <c r="B34">
        <v>82087.899999999994</v>
      </c>
      <c r="C34">
        <v>10302</v>
      </c>
    </row>
    <row r="35" spans="1:3" x14ac:dyDescent="0.2">
      <c r="A35" t="s">
        <v>42</v>
      </c>
      <c r="B35">
        <v>83028.42</v>
      </c>
      <c r="C35">
        <v>15679</v>
      </c>
    </row>
    <row r="36" spans="1:3" x14ac:dyDescent="0.2">
      <c r="A36" t="s">
        <v>43</v>
      </c>
      <c r="B36">
        <v>84079.49</v>
      </c>
      <c r="C36">
        <v>12884</v>
      </c>
    </row>
    <row r="37" spans="1:3" x14ac:dyDescent="0.2">
      <c r="A37" t="s">
        <v>44</v>
      </c>
      <c r="B37">
        <v>84847.76</v>
      </c>
      <c r="C37">
        <v>11581</v>
      </c>
    </row>
    <row r="38" spans="1:3" x14ac:dyDescent="0.2">
      <c r="A38" t="s">
        <v>45</v>
      </c>
      <c r="B38">
        <v>86697.17</v>
      </c>
      <c r="C38">
        <v>9243</v>
      </c>
    </row>
    <row r="39" spans="1:3" x14ac:dyDescent="0.2">
      <c r="A39" t="s">
        <v>46</v>
      </c>
      <c r="B39">
        <v>86748.27</v>
      </c>
      <c r="C39">
        <v>12167</v>
      </c>
    </row>
    <row r="40" spans="1:3" x14ac:dyDescent="0.2">
      <c r="A40" t="s">
        <v>47</v>
      </c>
      <c r="B40">
        <v>87126.84</v>
      </c>
      <c r="C40">
        <v>16843</v>
      </c>
    </row>
    <row r="41" spans="1:3" x14ac:dyDescent="0.2">
      <c r="A41" t="s">
        <v>48</v>
      </c>
      <c r="B41">
        <v>89430.52</v>
      </c>
      <c r="C41">
        <v>10350</v>
      </c>
    </row>
    <row r="42" spans="1:3" x14ac:dyDescent="0.2">
      <c r="A42" t="s">
        <v>49</v>
      </c>
      <c r="B42">
        <v>89903.2</v>
      </c>
      <c r="C42">
        <v>10680</v>
      </c>
    </row>
    <row r="43" spans="1:3" x14ac:dyDescent="0.2">
      <c r="A43" t="s">
        <v>50</v>
      </c>
      <c r="B43">
        <v>93941.34</v>
      </c>
      <c r="C43">
        <v>9815</v>
      </c>
    </row>
    <row r="44" spans="1:3" x14ac:dyDescent="0.2">
      <c r="A44" t="s">
        <v>51</v>
      </c>
      <c r="B44">
        <v>93983.38</v>
      </c>
      <c r="C44">
        <v>17767</v>
      </c>
    </row>
    <row r="45" spans="1:3" x14ac:dyDescent="0.2">
      <c r="A45" t="s">
        <v>52</v>
      </c>
      <c r="B45">
        <v>95135.23</v>
      </c>
      <c r="C45">
        <v>9421</v>
      </c>
    </row>
    <row r="46" spans="1:3" x14ac:dyDescent="0.2">
      <c r="A46" t="s">
        <v>53</v>
      </c>
      <c r="B46">
        <v>98024.17</v>
      </c>
      <c r="C46">
        <v>22381</v>
      </c>
    </row>
    <row r="47" spans="1:3" x14ac:dyDescent="0.2">
      <c r="A47" t="s">
        <v>54</v>
      </c>
      <c r="B47">
        <v>103465.81</v>
      </c>
      <c r="C47">
        <v>12534</v>
      </c>
    </row>
    <row r="48" spans="1:3" x14ac:dyDescent="0.2">
      <c r="A48" t="s">
        <v>55</v>
      </c>
      <c r="B48">
        <v>111374.14</v>
      </c>
      <c r="C48">
        <v>18129</v>
      </c>
    </row>
    <row r="49" spans="1:3" x14ac:dyDescent="0.2">
      <c r="A49" t="s">
        <v>56</v>
      </c>
      <c r="B49">
        <v>116182.27</v>
      </c>
      <c r="C49">
        <v>26076</v>
      </c>
    </row>
    <row r="50" spans="1:3" x14ac:dyDescent="0.2">
      <c r="A50" t="s">
        <v>57</v>
      </c>
      <c r="B50">
        <v>118625.35</v>
      </c>
      <c r="C50">
        <v>15673</v>
      </c>
    </row>
    <row r="51" spans="1:3" x14ac:dyDescent="0.2">
      <c r="A51" t="s">
        <v>58</v>
      </c>
      <c r="B51">
        <v>119278.92</v>
      </c>
      <c r="C51">
        <v>12072</v>
      </c>
    </row>
    <row r="52" spans="1:3" x14ac:dyDescent="0.2">
      <c r="A52" t="s">
        <v>59</v>
      </c>
      <c r="B52">
        <v>120350.89</v>
      </c>
      <c r="C52">
        <v>33704</v>
      </c>
    </row>
    <row r="53" spans="1:3" x14ac:dyDescent="0.2">
      <c r="A53" t="s">
        <v>60</v>
      </c>
      <c r="B53">
        <v>121091.44</v>
      </c>
      <c r="C53">
        <v>20145</v>
      </c>
    </row>
    <row r="54" spans="1:3" x14ac:dyDescent="0.2">
      <c r="A54" t="s">
        <v>61</v>
      </c>
      <c r="B54">
        <v>129610.88</v>
      </c>
      <c r="C54">
        <v>10866</v>
      </c>
    </row>
    <row r="55" spans="1:3" x14ac:dyDescent="0.2">
      <c r="A55" t="s">
        <v>62</v>
      </c>
      <c r="B55">
        <v>130385.91</v>
      </c>
      <c r="C55">
        <v>13956</v>
      </c>
    </row>
    <row r="56" spans="1:3" x14ac:dyDescent="0.2">
      <c r="A56" t="s">
        <v>63</v>
      </c>
      <c r="B56">
        <v>148914.92000000001</v>
      </c>
      <c r="C56">
        <v>15932</v>
      </c>
    </row>
    <row r="57" spans="1:3" x14ac:dyDescent="0.2">
      <c r="A57" t="s">
        <v>64</v>
      </c>
      <c r="B57">
        <v>151128.88</v>
      </c>
      <c r="C57">
        <v>9566</v>
      </c>
    </row>
    <row r="58" spans="1:3" x14ac:dyDescent="0.2">
      <c r="A58" t="s">
        <v>65</v>
      </c>
      <c r="B58">
        <v>155536.51</v>
      </c>
      <c r="C58">
        <v>17096</v>
      </c>
    </row>
    <row r="59" spans="1:3" x14ac:dyDescent="0.2">
      <c r="A59" t="s">
        <v>66</v>
      </c>
      <c r="B59">
        <v>159522.34</v>
      </c>
      <c r="C59">
        <v>14330</v>
      </c>
    </row>
    <row r="60" spans="1:3" x14ac:dyDescent="0.2">
      <c r="A60" t="s">
        <v>67</v>
      </c>
      <c r="B60">
        <v>161478.01</v>
      </c>
      <c r="C60">
        <v>21056</v>
      </c>
    </row>
    <row r="61" spans="1:3" x14ac:dyDescent="0.2">
      <c r="A61" t="s">
        <v>68</v>
      </c>
      <c r="B61">
        <v>162121.4</v>
      </c>
      <c r="C61">
        <v>17764</v>
      </c>
    </row>
    <row r="62" spans="1:3" x14ac:dyDescent="0.2">
      <c r="A62" t="s">
        <v>69</v>
      </c>
      <c r="B62">
        <v>164334</v>
      </c>
      <c r="C62">
        <v>16303</v>
      </c>
    </row>
    <row r="63" spans="1:3" x14ac:dyDescent="0.2">
      <c r="A63" t="s">
        <v>70</v>
      </c>
      <c r="B63">
        <v>170191.35</v>
      </c>
      <c r="C63">
        <v>20260</v>
      </c>
    </row>
    <row r="64" spans="1:3" x14ac:dyDescent="0.2">
      <c r="A64" t="s">
        <v>71</v>
      </c>
      <c r="B64">
        <v>170526.97</v>
      </c>
      <c r="C64">
        <v>16667</v>
      </c>
    </row>
    <row r="65" spans="1:3" x14ac:dyDescent="0.2">
      <c r="A65" t="s">
        <v>72</v>
      </c>
      <c r="B65">
        <v>174171.06</v>
      </c>
      <c r="C65">
        <v>24986</v>
      </c>
    </row>
    <row r="66" spans="1:3" x14ac:dyDescent="0.2">
      <c r="A66" t="s">
        <v>73</v>
      </c>
      <c r="B66">
        <v>178943.01</v>
      </c>
      <c r="C66">
        <v>20958</v>
      </c>
    </row>
    <row r="67" spans="1:3" x14ac:dyDescent="0.2">
      <c r="A67" t="s">
        <v>74</v>
      </c>
      <c r="B67">
        <v>180146.4</v>
      </c>
      <c r="C67">
        <v>20816</v>
      </c>
    </row>
    <row r="68" spans="1:3" x14ac:dyDescent="0.2">
      <c r="A68" t="s">
        <v>75</v>
      </c>
      <c r="B68">
        <v>181312.99</v>
      </c>
      <c r="C68">
        <v>14398</v>
      </c>
    </row>
    <row r="69" spans="1:3" x14ac:dyDescent="0.2">
      <c r="A69" t="s">
        <v>76</v>
      </c>
      <c r="B69">
        <v>189609.78</v>
      </c>
      <c r="C69">
        <v>19848</v>
      </c>
    </row>
    <row r="70" spans="1:3" x14ac:dyDescent="0.2">
      <c r="A70" t="s">
        <v>77</v>
      </c>
      <c r="B70">
        <v>190928.3</v>
      </c>
      <c r="C70">
        <v>20638</v>
      </c>
    </row>
    <row r="71" spans="1:3" x14ac:dyDescent="0.2">
      <c r="A71" t="s">
        <v>78</v>
      </c>
      <c r="B71">
        <v>193802</v>
      </c>
      <c r="C71">
        <v>21704</v>
      </c>
    </row>
    <row r="72" spans="1:3" x14ac:dyDescent="0.2">
      <c r="A72" t="s">
        <v>79</v>
      </c>
      <c r="B72">
        <v>201254.72</v>
      </c>
      <c r="C72">
        <v>16355</v>
      </c>
    </row>
    <row r="73" spans="1:3" x14ac:dyDescent="0.2">
      <c r="A73" t="s">
        <v>80</v>
      </c>
      <c r="B73">
        <v>207645.98</v>
      </c>
      <c r="C73">
        <v>18914</v>
      </c>
    </row>
    <row r="74" spans="1:3" x14ac:dyDescent="0.2">
      <c r="A74" t="s">
        <v>81</v>
      </c>
      <c r="B74">
        <v>220495.45</v>
      </c>
      <c r="C74">
        <v>36842</v>
      </c>
    </row>
    <row r="75" spans="1:3" x14ac:dyDescent="0.2">
      <c r="A75" t="s">
        <v>82</v>
      </c>
      <c r="B75">
        <v>231477.99</v>
      </c>
      <c r="C75">
        <v>17534</v>
      </c>
    </row>
    <row r="76" spans="1:3" x14ac:dyDescent="0.2">
      <c r="A76" t="s">
        <v>83</v>
      </c>
      <c r="B76">
        <v>238548.12</v>
      </c>
      <c r="C76">
        <v>20880</v>
      </c>
    </row>
    <row r="77" spans="1:3" x14ac:dyDescent="0.2">
      <c r="A77" t="s">
        <v>84</v>
      </c>
      <c r="B77">
        <v>252605.41</v>
      </c>
      <c r="C77">
        <v>33309</v>
      </c>
    </row>
    <row r="78" spans="1:3" x14ac:dyDescent="0.2">
      <c r="A78" t="s">
        <v>85</v>
      </c>
      <c r="B78">
        <v>253032.77</v>
      </c>
      <c r="C78">
        <v>26306</v>
      </c>
    </row>
    <row r="79" spans="1:3" x14ac:dyDescent="0.2">
      <c r="A79" t="s">
        <v>86</v>
      </c>
      <c r="B79">
        <v>253622.23</v>
      </c>
      <c r="C79">
        <v>24276</v>
      </c>
    </row>
    <row r="80" spans="1:3" x14ac:dyDescent="0.2">
      <c r="A80" t="s">
        <v>87</v>
      </c>
      <c r="B80">
        <v>279419.44</v>
      </c>
      <c r="C80">
        <v>46225</v>
      </c>
    </row>
    <row r="81" spans="1:7" x14ac:dyDescent="0.2">
      <c r="A81" t="s">
        <v>88</v>
      </c>
      <c r="B81">
        <v>313352.25</v>
      </c>
      <c r="C81">
        <v>35625</v>
      </c>
    </row>
    <row r="82" spans="1:7" x14ac:dyDescent="0.2">
      <c r="A82" t="s">
        <v>89</v>
      </c>
      <c r="B82">
        <v>327926.96999999997</v>
      </c>
      <c r="C82">
        <v>15543</v>
      </c>
    </row>
    <row r="83" spans="1:7" x14ac:dyDescent="0.2">
      <c r="A83" t="s">
        <v>90</v>
      </c>
      <c r="B83">
        <v>332051.84999999998</v>
      </c>
      <c r="C83">
        <v>40325</v>
      </c>
    </row>
    <row r="84" spans="1:7" x14ac:dyDescent="0.2">
      <c r="A84" t="s">
        <v>91</v>
      </c>
      <c r="B84">
        <v>333890.32</v>
      </c>
      <c r="C84">
        <v>38013</v>
      </c>
    </row>
    <row r="85" spans="1:7" x14ac:dyDescent="0.2">
      <c r="A85" t="s">
        <v>92</v>
      </c>
      <c r="B85">
        <v>338064.66</v>
      </c>
      <c r="C85">
        <v>66135</v>
      </c>
    </row>
    <row r="86" spans="1:7" x14ac:dyDescent="0.2">
      <c r="A86" t="s">
        <v>93</v>
      </c>
      <c r="B86">
        <v>356471.29</v>
      </c>
      <c r="C86">
        <v>40648</v>
      </c>
    </row>
    <row r="87" spans="1:7" x14ac:dyDescent="0.2">
      <c r="A87" t="s">
        <v>94</v>
      </c>
      <c r="B87">
        <v>412818.65</v>
      </c>
      <c r="C87">
        <v>42745</v>
      </c>
    </row>
    <row r="88" spans="1:7" x14ac:dyDescent="0.2">
      <c r="A88" t="s">
        <v>95</v>
      </c>
      <c r="B88">
        <v>470931.72</v>
      </c>
      <c r="C88">
        <v>49116</v>
      </c>
    </row>
    <row r="89" spans="1:7" x14ac:dyDescent="0.2">
      <c r="A89" t="s">
        <v>96</v>
      </c>
      <c r="B89">
        <v>509384.08</v>
      </c>
      <c r="C89">
        <v>35862</v>
      </c>
    </row>
    <row r="90" spans="1:7" x14ac:dyDescent="0.2">
      <c r="A90" t="s">
        <v>97</v>
      </c>
      <c r="B90">
        <v>585157.26</v>
      </c>
      <c r="C90">
        <v>16667</v>
      </c>
    </row>
    <row r="91" spans="1:7" x14ac:dyDescent="0.2">
      <c r="A91" t="s">
        <v>98</v>
      </c>
      <c r="B91">
        <v>881859.49</v>
      </c>
      <c r="C91">
        <v>44151</v>
      </c>
    </row>
    <row r="92" spans="1:7" x14ac:dyDescent="0.2">
      <c r="A92" t="s">
        <v>99</v>
      </c>
      <c r="B92">
        <v>1178197.31</v>
      </c>
      <c r="C92">
        <v>102172</v>
      </c>
    </row>
    <row r="93" spans="1:7" x14ac:dyDescent="0.2">
      <c r="A93" t="s">
        <v>100</v>
      </c>
      <c r="B93">
        <v>1266570.82</v>
      </c>
      <c r="C93">
        <v>89542</v>
      </c>
    </row>
    <row r="94" spans="1:7" x14ac:dyDescent="0.2">
      <c r="A94" t="s">
        <v>101</v>
      </c>
      <c r="B94">
        <v>1369793.99</v>
      </c>
      <c r="C94">
        <v>93653</v>
      </c>
    </row>
    <row r="95" spans="1:7" x14ac:dyDescent="0.2">
      <c r="A95" t="s">
        <v>102</v>
      </c>
      <c r="B95">
        <v>1524662.02</v>
      </c>
      <c r="C95">
        <v>93158</v>
      </c>
      <c r="F95" t="s">
        <v>138</v>
      </c>
      <c r="G95">
        <v>37321641.829999998</v>
      </c>
    </row>
    <row r="96" spans="1:7" x14ac:dyDescent="0.2">
      <c r="A96" t="s">
        <v>103</v>
      </c>
      <c r="B96">
        <v>1912185</v>
      </c>
      <c r="C96">
        <v>130882</v>
      </c>
    </row>
    <row r="97" spans="1:7" x14ac:dyDescent="0.2">
      <c r="A97" t="s">
        <v>104</v>
      </c>
      <c r="B97">
        <v>2025735.48</v>
      </c>
      <c r="C97">
        <v>131090</v>
      </c>
      <c r="F97">
        <f xml:space="preserve"> B100+B99+B98</f>
        <v>14630532.380000001</v>
      </c>
    </row>
    <row r="98" spans="1:7" x14ac:dyDescent="0.2">
      <c r="A98" t="s">
        <v>105</v>
      </c>
      <c r="B98">
        <v>2458116.02</v>
      </c>
      <c r="C98">
        <v>165224</v>
      </c>
      <c r="G98">
        <f>(F97/G95)*100</f>
        <v>39.2012024729299</v>
      </c>
    </row>
    <row r="99" spans="1:7" x14ac:dyDescent="0.2">
      <c r="A99" t="s">
        <v>106</v>
      </c>
      <c r="B99">
        <v>3441958.4</v>
      </c>
      <c r="C99">
        <v>211226</v>
      </c>
    </row>
    <row r="100" spans="1:7" x14ac:dyDescent="0.2">
      <c r="A100" t="s">
        <v>107</v>
      </c>
      <c r="B100">
        <v>8730457.9600000009</v>
      </c>
      <c r="C100">
        <v>430640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41A3-5739-924C-8E94-6BFB7F54335B}">
  <dimension ref="A1:E12"/>
  <sheetViews>
    <sheetView topLeftCell="D15" zoomScale="200" workbookViewId="0">
      <selection activeCell="H34" sqref="H34"/>
    </sheetView>
  </sheetViews>
  <sheetFormatPr baseColWidth="10" defaultRowHeight="16" x14ac:dyDescent="0.2"/>
  <cols>
    <col min="2" max="2" width="12.1640625" bestFit="1" customWidth="1"/>
    <col min="3" max="4" width="28.5" bestFit="1" customWidth="1"/>
    <col min="5" max="5" width="18.6640625" bestFit="1" customWidth="1"/>
    <col min="6" max="6" width="28.5" bestFit="1" customWidth="1"/>
    <col min="7" max="7" width="18.6640625" bestFit="1" customWidth="1"/>
  </cols>
  <sheetData>
    <row r="1" spans="1:5" x14ac:dyDescent="0.2">
      <c r="A1" s="1" t="s">
        <v>222</v>
      </c>
      <c r="B1" s="1" t="s">
        <v>158</v>
      </c>
      <c r="C1" s="1"/>
      <c r="D1" s="5" t="s">
        <v>113</v>
      </c>
      <c r="E1" t="s">
        <v>161</v>
      </c>
    </row>
    <row r="2" spans="1:5" x14ac:dyDescent="0.2">
      <c r="A2" t="s">
        <v>218</v>
      </c>
      <c r="B2">
        <v>84255873.620000005</v>
      </c>
      <c r="D2" s="6" t="s">
        <v>221</v>
      </c>
      <c r="E2" s="4">
        <v>21225271.219999999</v>
      </c>
    </row>
    <row r="3" spans="1:5" x14ac:dyDescent="0.2">
      <c r="A3" t="s">
        <v>219</v>
      </c>
      <c r="B3">
        <v>37309997.75</v>
      </c>
      <c r="D3" s="6" t="s">
        <v>140</v>
      </c>
      <c r="E3" s="4">
        <v>25492453.899999999</v>
      </c>
    </row>
    <row r="4" spans="1:5" x14ac:dyDescent="0.2">
      <c r="A4" t="s">
        <v>220</v>
      </c>
      <c r="B4">
        <v>31772152.16</v>
      </c>
      <c r="D4" s="6" t="s">
        <v>216</v>
      </c>
      <c r="E4" s="4">
        <v>26674158.789999999</v>
      </c>
    </row>
    <row r="5" spans="1:5" x14ac:dyDescent="0.2">
      <c r="A5" t="s">
        <v>214</v>
      </c>
      <c r="B5">
        <v>28157424.530000001</v>
      </c>
      <c r="D5" s="6" t="s">
        <v>218</v>
      </c>
      <c r="E5" s="4">
        <v>84255873.620000005</v>
      </c>
    </row>
    <row r="6" spans="1:5" x14ac:dyDescent="0.2">
      <c r="A6" t="s">
        <v>215</v>
      </c>
      <c r="B6">
        <v>27244119.390000001</v>
      </c>
      <c r="D6" s="6" t="s">
        <v>220</v>
      </c>
      <c r="E6" s="4">
        <v>31772152.16</v>
      </c>
    </row>
    <row r="7" spans="1:5" x14ac:dyDescent="0.2">
      <c r="A7" t="s">
        <v>216</v>
      </c>
      <c r="B7">
        <v>26674158.789999999</v>
      </c>
      <c r="D7" s="6" t="s">
        <v>215</v>
      </c>
      <c r="E7" s="4">
        <v>27244119.390000001</v>
      </c>
    </row>
    <row r="8" spans="1:5" x14ac:dyDescent="0.2">
      <c r="A8" t="s">
        <v>140</v>
      </c>
      <c r="B8">
        <v>25492453.899999999</v>
      </c>
      <c r="D8" s="6" t="s">
        <v>214</v>
      </c>
      <c r="E8" s="4">
        <v>28157424.530000001</v>
      </c>
    </row>
    <row r="9" spans="1:5" x14ac:dyDescent="0.2">
      <c r="A9" t="s">
        <v>221</v>
      </c>
      <c r="B9">
        <v>21225271.219999999</v>
      </c>
      <c r="D9" s="6" t="s">
        <v>142</v>
      </c>
      <c r="E9" s="4">
        <v>12429757.59</v>
      </c>
    </row>
    <row r="10" spans="1:5" x14ac:dyDescent="0.2">
      <c r="A10" t="s">
        <v>142</v>
      </c>
      <c r="B10">
        <v>12429757.59</v>
      </c>
      <c r="D10" s="6" t="s">
        <v>217</v>
      </c>
      <c r="E10" s="4">
        <v>11941208.48</v>
      </c>
    </row>
    <row r="11" spans="1:5" x14ac:dyDescent="0.2">
      <c r="A11" t="s">
        <v>217</v>
      </c>
      <c r="B11">
        <v>11941208.48</v>
      </c>
      <c r="D11" s="6" t="s">
        <v>219</v>
      </c>
      <c r="E11" s="4">
        <v>37309997.75</v>
      </c>
    </row>
    <row r="12" spans="1:5" x14ac:dyDescent="0.2">
      <c r="D12" s="6" t="s">
        <v>114</v>
      </c>
      <c r="E12" s="4">
        <v>306502417.43000001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F78E-E894-6944-832E-07E4F97B6E30}">
  <dimension ref="A1:D4"/>
  <sheetViews>
    <sheetView workbookViewId="0"/>
  </sheetViews>
  <sheetFormatPr baseColWidth="10" defaultRowHeight="16" x14ac:dyDescent="0.2"/>
  <cols>
    <col min="1" max="1" width="28.6640625" bestFit="1" customWidth="1"/>
    <col min="2" max="2" width="15" bestFit="1" customWidth="1"/>
    <col min="3" max="3" width="17.5" bestFit="1" customWidth="1"/>
    <col min="4" max="4" width="15.5" bestFit="1" customWidth="1"/>
  </cols>
  <sheetData>
    <row r="1" spans="1:4" x14ac:dyDescent="0.2">
      <c r="A1" s="11" t="s">
        <v>163</v>
      </c>
    </row>
    <row r="3" spans="1:4" x14ac:dyDescent="0.2">
      <c r="A3" t="s">
        <v>157</v>
      </c>
      <c r="B3" t="s">
        <v>158</v>
      </c>
      <c r="C3" t="s">
        <v>159</v>
      </c>
      <c r="D3" t="s">
        <v>160</v>
      </c>
    </row>
    <row r="4" spans="1:4" x14ac:dyDescent="0.2">
      <c r="A4" t="s">
        <v>156</v>
      </c>
      <c r="B4">
        <v>12037250.550000001</v>
      </c>
      <c r="C4">
        <v>92084.54</v>
      </c>
      <c r="D4">
        <v>0.76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S-%50 of revenue</vt:lpstr>
      <vt:lpstr>S -big vol wholesale </vt:lpstr>
      <vt:lpstr>W-top10_perf_monthly</vt:lpstr>
      <vt:lpstr>W-top10 category share</vt:lpstr>
      <vt:lpstr>O - whiskey liq category</vt:lpstr>
      <vt:lpstr>O- big spenders</vt:lpstr>
      <vt:lpstr>T- county share</vt:lpstr>
      <vt:lpstr>T-top competetitor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2026-04-29T19:51:45Z</dcterms:created>
  <dcterms:modified xsi:type="dcterms:W3CDTF">2026-05-01T11:03:19Z</dcterms:modified>
</cp:coreProperties>
</file>