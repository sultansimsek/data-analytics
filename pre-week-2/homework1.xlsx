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ssimsek_my_yearupunited_org/Documents/"/>
    </mc:Choice>
  </mc:AlternateContent>
  <xr:revisionPtr revIDLastSave="0" documentId="8_{FABB788D-691E-2E48-94A4-5A01B098163A}" xr6:coauthVersionLast="47" xr6:coauthVersionMax="47" xr10:uidLastSave="{00000000-0000-0000-0000-000000000000}"/>
  <bookViews>
    <workbookView xWindow="0" yWindow="740" windowWidth="30240" windowHeight="18900" activeTab="1" xr2:uid="{3F5648ED-92AC-DC48-B408-C767B2E02841}"/>
  </bookViews>
  <sheets>
    <sheet name="Sheet1" sheetId="1" r:id="rId1"/>
    <sheet name="Store_Summary" sheetId="2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21" i="1"/>
  <c r="E20" i="1"/>
  <c r="E19" i="1"/>
  <c r="E17" i="1"/>
  <c r="E16" i="1"/>
  <c r="E15" i="1"/>
  <c r="B19" i="1"/>
  <c r="B18" i="1"/>
  <c r="B21" i="1"/>
  <c r="B20" i="1"/>
  <c r="B17" i="1"/>
  <c r="B16" i="1"/>
  <c r="B15" i="1"/>
</calcChain>
</file>

<file path=xl/sharedStrings.xml><?xml version="1.0" encoding="utf-8"?>
<sst xmlns="http://schemas.openxmlformats.org/spreadsheetml/2006/main" count="56" uniqueCount="24">
  <si>
    <t xml:space="preserve">Store 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</si>
  <si>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</si>
  <si>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</si>
  <si>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</si>
  <si>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</si>
  <si>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</si>
  <si>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</si>
  <si>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</si>
  <si>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</si>
  <si>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</si>
  <si>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</si>
  <si>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</si>
  <si>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</si>
  <si>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</si>
  <si>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</si>
  <si>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</si>
  <si>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</si>
  <si>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</si>
  <si>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min</t>
  </si>
  <si>
    <t>max</t>
  </si>
  <si>
    <t>Standard Deviation</t>
  </si>
  <si>
    <t>Row Labels</t>
  </si>
  <si>
    <t>Grand Total</t>
  </si>
  <si>
    <t>Sum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</si>
</sst>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[homework1.xlsx.xlsx]Store_Summary!PivotTable2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803149606299218E-2"/>
          <c:y val="0.16708333333333336"/>
          <c:w val="0.78883092738407701"/>
          <c:h val="0.6704013560804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Store_Summary!$B$3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Store_Summary!$A$4:$A$16</c:f>
              <c:strCache>
                <c:ptCount val="12"/>
                <c:pt idx="0">
                  <c:v>Store H</c:v>
                </c:pt>
                <c:pt idx="1">
                  <c:v>Store E</c:v>
                </c:pt>
                <c:pt idx="2">
                  <c:v>Store A</c:v>
                </c:pt>
                <c:pt idx="3">
                  <c:v>Store L</c:v>
                </c:pt>
                <c:pt idx="4">
                  <c:v>Store C</c:v>
                </c:pt>
                <c:pt idx="5">
                  <c:v>Store J</c:v>
                </c:pt>
                <c:pt idx="6">
                  <c:v>Store F</c:v>
                </c:pt>
                <c:pt idx="7">
                  <c:v>Store D</c:v>
                </c:pt>
                <c:pt idx="8">
                  <c:v>Store K</c:v>
                </c:pt>
                <c:pt idx="9">
                  <c:v>Store G</c:v>
                </c:pt>
                <c:pt idx="10">
                  <c:v>Store B</c:v>
                </c:pt>
                <c:pt idx="11">
                  <c:v>Store I</c:v>
                </c:pt>
              </c:strCache>
            </c:strRef>
          </c:cat>
          <c:val>
            <c:numRef>
              <c:f>Store_Summary!$B$4:$B$16</c:f>
              <c:numCache>
                <c:formatCode>General</c:formatCode>
                <c:ptCount val="12"/>
                <c:pt idx="0">
                  <c:v>72</c:v>
                </c:pt>
                <c:pt idx="1">
                  <c:v>52</c:v>
                </c:pt>
                <c:pt idx="2">
                  <c:v>51</c:v>
                </c:pt>
                <c:pt idx="3">
                  <c:v>50</c:v>
                </c:pt>
                <c:pt idx="4">
                  <c:v>49</c:v>
                </c:pt>
                <c:pt idx="5">
                  <c:v>48</c:v>
                </c:pt>
                <c:pt idx="6">
                  <c:v>47</c:v>
                </c:pt>
                <c:pt idx="7">
                  <c:v>46</c:v>
                </c:pt>
                <c:pt idx="8">
                  <c:v>46</c:v>
                </c:pt>
                <c:pt idx="9">
                  <c:v>45</c:v>
                </c:pt>
                <c:pt idx="10">
                  <c:v>44</c:v>
                </c:pt>
                <c:pt idx="1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A-8940-BAAC-E7171C8C5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328127"/>
        <c:axId val="823446431"/>
      </c:barChart>
      <c:catAx>
        <c:axId val="86832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46431"/>
        <c:crosses val="autoZero"/>
        <c:auto val="1"/>
        <c:lblAlgn val="ctr"/>
        <c:lblOffset val="100"/>
        <c:noMultiLvlLbl val="0"/>
      </c:catAx>
      <c:valAx>
        <c:axId val="82344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2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1</xdr:row>
      <xdr:rowOff>196850</xdr:rowOff>
    </xdr:from>
    <xdr:to>
      <xdr:col>7</xdr:col>
      <xdr:colOff>527050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4415FD-8345-9F1B-C1A5-E8B4EB486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25400</xdr:colOff>
      <xdr:row>18</xdr:row>
      <xdr:rowOff>0</xdr:rowOff>
    </xdr:from>
    <xdr:ext cx="4889500" cy="350506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94AA5A-9F78-FAD1-8FE7-2EDB8981B25F}"/>
            </a:ext>
          </a:extLst>
        </xdr:cNvPr>
        <xdr:cNvSpPr txBox="1"/>
      </xdr:nvSpPr>
      <xdr:spPr>
        <a:xfrm>
          <a:off x="25400" y="3657600"/>
          <a:ext cx="4889500" cy="35050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- The overall average performance</a:t>
          </a:r>
          <a:r>
            <a:rPr lang="en-US" sz="1400" baseline="0"/>
            <a:t> between stores are really close	 to each other, coming to 49.4 and without store H, one of which makes the standar deviation really high, it comes to 47.3.</a:t>
          </a:r>
        </a:p>
        <a:p>
          <a:r>
            <a:rPr lang="en-US" sz="1400" baseline="0"/>
            <a:t>-  Store performance are highly grouped ranging with a standard deviation of 2.9 without the outlier.</a:t>
          </a:r>
        </a:p>
        <a:p>
          <a:r>
            <a:rPr lang="en-US" sz="1400" baseline="0"/>
            <a:t>-  While the outlier Store H shows increase in the mean, range and standard deviation, it represents an exceptional performance between all stores.</a:t>
          </a:r>
        </a:p>
        <a:p>
          <a:r>
            <a:rPr lang="en-US" sz="1400" baseline="0"/>
            <a:t>-   Performance shows consistincy across the dataset; however, Store H  influnces the results  highly, that is why  another table is created on Sheet1, in order to show the typical performance.</a:t>
          </a:r>
        </a:p>
        <a:p>
          <a:r>
            <a:rPr lang="en-US" sz="1400" baseline="0"/>
            <a:t>- To conclude, there are a lot of missing factors in the dataset, which makes it hard to read the overall picture. </a:t>
          </a:r>
        </a:p>
        <a:p>
          <a:endParaRPr lang="en-US" sz="1100" baseline="0"/>
        </a:p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ltan Simsek" refreshedDate="46107.736857175929" createdVersion="8" refreshedVersion="8" minRefreshableVersion="3" recordCount="12" xr:uid="{B4F46414-5C92-3641-95E4-30BD8200D3A0}">
  <cacheSource type="worksheet">
    <worksheetSource ref="A1:B13" sheet="Sheet1"/>
  </cacheSource>
  <cacheFields count="2">
    <cacheField name="Store " numFmtId="0">
      <sharedItems count="12">
        <s v="Store I"/>
        <s v="Store B"/>
        <s v="Store G"/>
        <s v="Store D"/>
        <s v="Store K"/>
        <s v="Store F"/>
        <s v="Store J"/>
        <s v="Store C"/>
        <s v="Store L"/>
        <s v="Store A"/>
        <s v="Store E"/>
        <s v="Store H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43"/>
  </r>
  <r>
    <x v="1"/>
    <n v="44"/>
  </r>
  <r>
    <x v="2"/>
    <n v="45"/>
  </r>
  <r>
    <x v="3"/>
    <n v="46"/>
  </r>
  <r>
    <x v="4"/>
    <n v="46"/>
  </r>
  <r>
    <x v="5"/>
    <n v="47"/>
  </r>
  <r>
    <x v="6"/>
    <n v="48"/>
  </r>
  <r>
    <x v="7"/>
    <n v="49"/>
  </r>
  <r>
    <x v="8"/>
    <n v="50"/>
  </r>
  <r>
    <x v="9"/>
    <n v="51"/>
  </r>
  <r>
    <x v="10"/>
    <n v="52"/>
  </r>
  <r>
    <x v="11"/>
    <n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CCE60-D440-C545-8C46-D845F8FC38B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">
    <pivotField axis="axisRow" showAll="0" sortType="descending">
      <items count="13">
        <item x="8"/>
        <item x="4"/>
        <item x="6"/>
        <item x="0"/>
        <item x="11"/>
        <item x="2"/>
        <item x="5"/>
        <item x="10"/>
        <item x="3"/>
        <item x="7"/>
        <item x="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3">
    <i>
      <x v="4"/>
    </i>
    <i>
      <x v="7"/>
    </i>
    <i>
      <x v="11"/>
    </i>
    <i>
      <x/>
    </i>
    <i>
      <x v="9"/>
    </i>
    <i>
      <x v="2"/>
    </i>
    <i>
      <x v="6"/>
    </i>
    <i>
      <x v="8"/>
    </i>
    <i>
      <x v="1"/>
    </i>
    <i>
      <x v="5"/>
    </i>
    <i>
      <x v="10"/>
    </i>
    <i>
      <x v="3"/>
    </i>
    <i t="grand">
      <x/>
    </i>
  </rowItems>
  <colItems count="1">
    <i/>
  </colItems>
  <dataFields count="1">
    <dataField name="Sum of Monthly S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750A-D8AA-1C4C-9331-594CA658A12C}">
  <dimension ref="A1:E21"/>
  <sheetViews>
    <sheetView zoomScale="111" workbookViewId="0">
      <selection activeCell="A5" sqref="A5"/>
    </sheetView>
  </sheetViews>
  <sheetFormatPr baseColWidth="10" defaultRowHeight="16" x14ac:dyDescent="0.2"/>
  <cols>
    <col min="1" max="1" width="16.83203125" bestFit="1" customWidth="1"/>
    <col min="2" max="2" width="12.5" bestFit="1" customWidth="1"/>
  </cols>
  <sheetData>
    <row r="1" spans="1:5" x14ac:dyDescent="0.2">
      <c r="A1" s="1" t="s">
        <v>0</v>
      </c>
      <c r="B1" s="1" t="s">
        <v>1</v>
      </c>
      <c r="D1" s="1" t="s">
        <v>0</v>
      </c>
      <c r="E1" s="1" t="s">
        <v>1</v>
      </c>
    </row>
    <row r="2" spans="1:5" x14ac:dyDescent="0.2">
      <c r="A2" t="s">
        <v>10</v>
      </c>
      <c r="B2">
        <v>43</v>
      </c>
      <c r="D2" t="s">
        <v>2</v>
      </c>
      <c r="E2">
        <v>51</v>
      </c>
    </row>
    <row r="3" spans="1:5" x14ac:dyDescent="0.2">
      <c r="A3" t="s">
        <v>3</v>
      </c>
      <c r="B3">
        <v>44</v>
      </c>
      <c r="D3" t="s">
        <v>3</v>
      </c>
      <c r="E3">
        <v>44</v>
      </c>
    </row>
    <row r="4" spans="1:5" x14ac:dyDescent="0.2">
      <c r="A4" t="s">
        <v>8</v>
      </c>
      <c r="B4">
        <v>45</v>
      </c>
      <c r="D4" t="s">
        <v>4</v>
      </c>
      <c r="E4">
        <v>49</v>
      </c>
    </row>
    <row r="5" spans="1:5" x14ac:dyDescent="0.2">
      <c r="A5" t="s">
        <v>5</v>
      </c>
      <c r="B5">
        <v>46</v>
      </c>
      <c r="D5" t="s">
        <v>5</v>
      </c>
      <c r="E5">
        <v>46</v>
      </c>
    </row>
    <row r="6" spans="1:5" x14ac:dyDescent="0.2">
      <c r="A6" t="s">
        <v>12</v>
      </c>
      <c r="B6">
        <v>46</v>
      </c>
      <c r="D6" t="s">
        <v>6</v>
      </c>
      <c r="E6">
        <v>52</v>
      </c>
    </row>
    <row r="7" spans="1:5" x14ac:dyDescent="0.2">
      <c r="A7" t="s">
        <v>7</v>
      </c>
      <c r="B7">
        <v>47</v>
      </c>
      <c r="D7" t="s">
        <v>7</v>
      </c>
      <c r="E7">
        <v>47</v>
      </c>
    </row>
    <row r="8" spans="1:5" x14ac:dyDescent="0.2">
      <c r="A8" t="s">
        <v>11</v>
      </c>
      <c r="B8">
        <v>48</v>
      </c>
      <c r="D8" t="s">
        <v>8</v>
      </c>
      <c r="E8">
        <v>45</v>
      </c>
    </row>
    <row r="9" spans="1:5" x14ac:dyDescent="0.2">
      <c r="A9" t="s">
        <v>4</v>
      </c>
      <c r="B9">
        <v>49</v>
      </c>
    </row>
    <row r="10" spans="1:5" x14ac:dyDescent="0.2">
      <c r="A10" t="s">
        <v>13</v>
      </c>
      <c r="B10">
        <v>50</v>
      </c>
      <c r="D10" t="s">
        <v>10</v>
      </c>
      <c r="E10">
        <v>43</v>
      </c>
    </row>
    <row r="11" spans="1:5" x14ac:dyDescent="0.2">
      <c r="A11" t="s">
        <v>2</v>
      </c>
      <c r="B11">
        <v>51</v>
      </c>
      <c r="D11" t="s">
        <v>11</v>
      </c>
      <c r="E11">
        <v>48</v>
      </c>
    </row>
    <row r="12" spans="1:5" x14ac:dyDescent="0.2">
      <c r="A12" t="s">
        <v>6</v>
      </c>
      <c r="B12">
        <v>52</v>
      </c>
      <c r="D12" t="s">
        <v>12</v>
      </c>
      <c r="E12">
        <v>46</v>
      </c>
    </row>
    <row r="13" spans="1:5" x14ac:dyDescent="0.2">
      <c r="A13" t="s">
        <v>9</v>
      </c>
      <c r="B13">
        <v>72</v>
      </c>
      <c r="D13" t="s">
        <v>13</v>
      </c>
      <c r="E13">
        <v>50</v>
      </c>
    </row>
    <row r="15" spans="1:5" x14ac:dyDescent="0.2">
      <c r="A15" s="1" t="s">
        <v>14</v>
      </c>
      <c r="B15">
        <f>AVERAGE(B2:B13)</f>
        <v>49.416666666666664</v>
      </c>
      <c r="D15" s="1" t="s">
        <v>14</v>
      </c>
      <c r="E15">
        <f>AVERAGE(E2:E13)</f>
        <v>47.363636363636367</v>
      </c>
    </row>
    <row r="16" spans="1:5" x14ac:dyDescent="0.2">
      <c r="A16" s="1" t="s">
        <v>15</v>
      </c>
      <c r="B16">
        <f>MEDIAN(B2:B13)</f>
        <v>47.5</v>
      </c>
      <c r="D16" s="1" t="s">
        <v>15</v>
      </c>
      <c r="E16">
        <f>MEDIAN(E2:E13)</f>
        <v>47</v>
      </c>
    </row>
    <row r="17" spans="1:5" x14ac:dyDescent="0.2">
      <c r="A17" s="1" t="s">
        <v>16</v>
      </c>
      <c r="B17">
        <f>_xlfn.MODE.SNGL(B2:B13)</f>
        <v>46</v>
      </c>
      <c r="D17" s="1" t="s">
        <v>16</v>
      </c>
      <c r="E17">
        <f>_xlfn.MODE.SNGL(E2:E13)</f>
        <v>46</v>
      </c>
    </row>
    <row r="18" spans="1:5" x14ac:dyDescent="0.2">
      <c r="A18" s="1" t="s">
        <v>17</v>
      </c>
      <c r="B18">
        <f>72-43</f>
        <v>29</v>
      </c>
      <c r="D18" s="1" t="s">
        <v>17</v>
      </c>
      <c r="E18">
        <f>52-43</f>
        <v>9</v>
      </c>
    </row>
    <row r="19" spans="1:5" x14ac:dyDescent="0.2">
      <c r="A19" s="1" t="s">
        <v>20</v>
      </c>
      <c r="B19">
        <f>STDEV(B1:B13)</f>
        <v>7.6331613054586773</v>
      </c>
      <c r="D19" s="1" t="s">
        <v>20</v>
      </c>
      <c r="E19">
        <f>STDEV(E1:E13)</f>
        <v>2.9076701075853588</v>
      </c>
    </row>
    <row r="20" spans="1:5" x14ac:dyDescent="0.2">
      <c r="A20" s="1" t="s">
        <v>18</v>
      </c>
      <c r="B20">
        <f>MIN(B2:B13)</f>
        <v>43</v>
      </c>
      <c r="D20" s="1" t="s">
        <v>18</v>
      </c>
      <c r="E20">
        <f>MIN(E2:E13)</f>
        <v>43</v>
      </c>
    </row>
    <row r="21" spans="1:5" x14ac:dyDescent="0.2">
      <c r="A21" s="1" t="s">
        <v>19</v>
      </c>
      <c r="B21">
        <f>MAX(B2:B13)</f>
        <v>72</v>
      </c>
      <c r="D21" s="1" t="s">
        <v>19</v>
      </c>
      <c r="E21">
        <f>MAX(E2:E13)</f>
        <v>52</v>
      </c>
    </row>
  </sheetData>
  <sortState xmlns:xlrd2="http://schemas.microsoft.com/office/spreadsheetml/2017/richdata2" ref="A2:B13">
    <sortCondition ref="B2:B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1894-0EE0-A543-9A46-F4118880B117}">
  <dimension ref="A3:B16"/>
  <sheetViews>
    <sheetView tabSelected="1" workbookViewId="0">
      <selection activeCell="F22" sqref="F22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2" t="s">
        <v>21</v>
      </c>
      <c r="B3" t="s">
        <v>23</v>
      </c>
    </row>
    <row r="4" spans="1:2" x14ac:dyDescent="0.2">
      <c r="A4" s="3" t="s">
        <v>9</v>
      </c>
      <c r="B4">
        <v>72</v>
      </c>
    </row>
    <row r="5" spans="1:2" x14ac:dyDescent="0.2">
      <c r="A5" s="3" t="s">
        <v>6</v>
      </c>
      <c r="B5">
        <v>52</v>
      </c>
    </row>
    <row r="6" spans="1:2" x14ac:dyDescent="0.2">
      <c r="A6" s="3" t="s">
        <v>2</v>
      </c>
      <c r="B6">
        <v>51</v>
      </c>
    </row>
    <row r="7" spans="1:2" x14ac:dyDescent="0.2">
      <c r="A7" s="3" t="s">
        <v>13</v>
      </c>
      <c r="B7">
        <v>50</v>
      </c>
    </row>
    <row r="8" spans="1:2" x14ac:dyDescent="0.2">
      <c r="A8" s="3" t="s">
        <v>4</v>
      </c>
      <c r="B8">
        <v>49</v>
      </c>
    </row>
    <row r="9" spans="1:2" x14ac:dyDescent="0.2">
      <c r="A9" s="3" t="s">
        <v>11</v>
      </c>
      <c r="B9">
        <v>48</v>
      </c>
    </row>
    <row r="10" spans="1:2" x14ac:dyDescent="0.2">
      <c r="A10" s="3" t="s">
        <v>7</v>
      </c>
      <c r="B10">
        <v>47</v>
      </c>
    </row>
    <row r="11" spans="1:2" x14ac:dyDescent="0.2">
      <c r="A11" s="3" t="s">
        <v>5</v>
      </c>
      <c r="B11">
        <v>46</v>
      </c>
    </row>
    <row r="12" spans="1:2" x14ac:dyDescent="0.2">
      <c r="A12" s="3" t="s">
        <v>12</v>
      </c>
      <c r="B12">
        <v>46</v>
      </c>
    </row>
    <row r="13" spans="1:2" x14ac:dyDescent="0.2">
      <c r="A13" s="3" t="s">
        <v>8</v>
      </c>
      <c r="B13">
        <v>45</v>
      </c>
    </row>
    <row r="14" spans="1:2" x14ac:dyDescent="0.2">
      <c r="A14" s="3" t="s">
        <v>3</v>
      </c>
      <c r="B14">
        <v>44</v>
      </c>
    </row>
    <row r="15" spans="1:2" x14ac:dyDescent="0.2">
      <c r="A15" s="3" t="s">
        <v>10</v>
      </c>
      <c r="B15">
        <v>43</v>
      </c>
    </row>
    <row r="16" spans="1:2" x14ac:dyDescent="0.2">
      <c r="A16" s="3" t="s">
        <v>22</v>
      </c>
      <c r="B16">
        <v>593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2026-03-26T22:25:29Z</dcterms:created>
  <dcterms:modified xsi:type="dcterms:W3CDTF">2026-03-26T23:02:35Z</dcterms:modified>
</cp:coreProperties>
</file>